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CSS 535 - High Performance Computing\Homework\Assignment2\"/>
    </mc:Choice>
  </mc:AlternateContent>
  <xr:revisionPtr revIDLastSave="0" documentId="13_ncr:1_{5FFF7310-B89E-4B64-A98D-A56D7C731A17}" xr6:coauthVersionLast="47" xr6:coauthVersionMax="47" xr10:uidLastSave="{00000000-0000-0000-0000-000000000000}"/>
  <bookViews>
    <workbookView xWindow="-108" yWindow="-108" windowWidth="23256" windowHeight="13176" activeTab="2" xr2:uid="{63C802E3-3161-4574-9D02-B423C38254C2}"/>
  </bookViews>
  <sheets>
    <sheet name="Data" sheetId="1" r:id="rId1"/>
    <sheet name="Comparision with Machine1" sheetId="2" r:id="rId2"/>
    <sheet name="Comparision with Machine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C3" i="1"/>
  <c r="F3" i="1" s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6" i="1"/>
  <c r="F26" i="1" s="1"/>
  <c r="C27" i="1"/>
  <c r="F27" i="1" s="1"/>
  <c r="C28" i="1"/>
  <c r="F28" i="1" s="1"/>
  <c r="C29" i="1"/>
  <c r="F29" i="1" s="1"/>
  <c r="C2" i="1"/>
  <c r="F2" i="1" s="1"/>
</calcChain>
</file>

<file path=xl/sharedStrings.xml><?xml version="1.0" encoding="utf-8"?>
<sst xmlns="http://schemas.openxmlformats.org/spreadsheetml/2006/main" count="29" uniqueCount="28">
  <si>
    <t>Size</t>
  </si>
  <si>
    <t>Sequential Time in microseconds</t>
  </si>
  <si>
    <t>Sequential Flops</t>
  </si>
  <si>
    <t>Sequential Residual</t>
  </si>
  <si>
    <t>Parallel Time in microseconds</t>
  </si>
  <si>
    <t>Parallel Flops</t>
  </si>
  <si>
    <t>Parallel Residual</t>
  </si>
  <si>
    <t>BLAS Time in microseconds</t>
  </si>
  <si>
    <t>BLAS Flops</t>
  </si>
  <si>
    <t>inf</t>
  </si>
  <si>
    <t>Theoretical Peak</t>
  </si>
  <si>
    <t>Theoretical Peak/Cycle</t>
  </si>
  <si>
    <t>Sequential Efficiency</t>
  </si>
  <si>
    <t>Parallel Efficiency</t>
  </si>
  <si>
    <t>BLAS Efficiency</t>
  </si>
  <si>
    <t>Size of Matrix</t>
  </si>
  <si>
    <t>Sequential_Machine1</t>
  </si>
  <si>
    <t>Parallel_Machine1</t>
  </si>
  <si>
    <t>BLAS_Machine1</t>
  </si>
  <si>
    <t>Sequential_Own</t>
  </si>
  <si>
    <t>Parallel_Own</t>
  </si>
  <si>
    <t>BLAS_Own</t>
  </si>
  <si>
    <t>Sequential Flops_Machine2</t>
  </si>
  <si>
    <t>Parallel Flops_Machine2</t>
  </si>
  <si>
    <t>BLAS Flops_Machine2</t>
  </si>
  <si>
    <t>Sequential Flops_Own</t>
  </si>
  <si>
    <t>Parallel Flops_Own</t>
  </si>
  <si>
    <t>BLAS Flops_Own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</si>
</sst>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11" fontId="0" fillId="0" borderId="0" xfId="0" applyNumberFormat="1"/>
    <xf numFmtId="0" fontId="19" fillId="0" borderId="10" xfId="42" applyFont="1" applyBorder="1"/>
    <xf numFmtId="0" fontId="19" fillId="0" borderId="11" xfId="42" applyFont="1" applyBorder="1"/>
    <xf numFmtId="0" fontId="19" fillId="0" borderId="12" xfId="42" applyFont="1" applyBorder="1"/>
    <xf numFmtId="0" fontId="19" fillId="0" borderId="13" xfId="42" applyFont="1" applyBorder="1"/>
    <xf numFmtId="11" fontId="20" fillId="0" borderId="0" xfId="42" applyNumberFormat="1" applyFont="1"/>
    <xf numFmtId="11" fontId="20" fillId="0" borderId="14" xfId="42" applyNumberFormat="1" applyFont="1" applyBorder="1"/>
    <xf numFmtId="11" fontId="19" fillId="0" borderId="0" xfId="42" applyNumberFormat="1" applyFont="1"/>
    <xf numFmtId="0" fontId="19" fillId="0" borderId="15" xfId="42" applyFont="1" applyBorder="1"/>
    <xf numFmtId="11" fontId="20" fillId="0" borderId="16" xfId="42" applyNumberFormat="1" applyFont="1" applyBorder="1"/>
    <xf numFmtId="11" fontId="20" fillId="0" borderId="17" xfId="42" applyNumberFormat="1" applyFont="1" applyBorder="1"/>
    <xf numFmtId="0" fontId="19" fillId="0" borderId="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D928BF5-2B02-4C0B-86C3-8DAD5A437A4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</a:t>
            </a:r>
            <a:r>
              <a:rPr lang="en-US" baseline="0"/>
              <a:t> Multiplication: Size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Sequential Time in microseconds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Data!$D$2:$D$29</c:f>
              <c:numCache>
                <c:formatCode>General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43</c:v>
                </c:pt>
                <c:pt idx="3">
                  <c:v>176</c:v>
                </c:pt>
                <c:pt idx="4">
                  <c:v>386</c:v>
                </c:pt>
                <c:pt idx="5">
                  <c:v>629</c:v>
                </c:pt>
                <c:pt idx="6">
                  <c:v>1069</c:v>
                </c:pt>
                <c:pt idx="7">
                  <c:v>1414</c:v>
                </c:pt>
                <c:pt idx="8">
                  <c:v>2559</c:v>
                </c:pt>
                <c:pt idx="9">
                  <c:v>4083</c:v>
                </c:pt>
                <c:pt idx="10">
                  <c:v>9374</c:v>
                </c:pt>
                <c:pt idx="11">
                  <c:v>15988</c:v>
                </c:pt>
                <c:pt idx="12">
                  <c:v>25034</c:v>
                </c:pt>
                <c:pt idx="13">
                  <c:v>36381</c:v>
                </c:pt>
                <c:pt idx="14">
                  <c:v>49940</c:v>
                </c:pt>
                <c:pt idx="15">
                  <c:v>64118</c:v>
                </c:pt>
                <c:pt idx="16">
                  <c:v>81111</c:v>
                </c:pt>
                <c:pt idx="17">
                  <c:v>100006</c:v>
                </c:pt>
                <c:pt idx="18">
                  <c:v>123930</c:v>
                </c:pt>
                <c:pt idx="19">
                  <c:v>143611</c:v>
                </c:pt>
                <c:pt idx="20">
                  <c:v>169926</c:v>
                </c:pt>
                <c:pt idx="21">
                  <c:v>198695</c:v>
                </c:pt>
                <c:pt idx="22">
                  <c:v>228314</c:v>
                </c:pt>
                <c:pt idx="23">
                  <c:v>256615</c:v>
                </c:pt>
                <c:pt idx="24">
                  <c:v>289949</c:v>
                </c:pt>
                <c:pt idx="25">
                  <c:v>324096</c:v>
                </c:pt>
                <c:pt idx="26">
                  <c:v>361444</c:v>
                </c:pt>
                <c:pt idx="27">
                  <c:v>402310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F-43DA-823F-7EEAE7EAA800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Parallel Time in microseconds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Data!$H$2:$H$29</c:f>
              <c:numCache>
                <c:formatCode>General</c:formatCode>
                <c:ptCount val="28"/>
                <c:pt idx="0">
                  <c:v>325</c:v>
                </c:pt>
                <c:pt idx="1">
                  <c:v>501</c:v>
                </c:pt>
                <c:pt idx="2">
                  <c:v>933</c:v>
                </c:pt>
                <c:pt idx="3">
                  <c:v>2022</c:v>
                </c:pt>
                <c:pt idx="4">
                  <c:v>2557</c:v>
                </c:pt>
                <c:pt idx="5">
                  <c:v>3491</c:v>
                </c:pt>
                <c:pt idx="6">
                  <c:v>3855</c:v>
                </c:pt>
                <c:pt idx="7">
                  <c:v>3994</c:v>
                </c:pt>
                <c:pt idx="8">
                  <c:v>5838</c:v>
                </c:pt>
                <c:pt idx="9">
                  <c:v>7625</c:v>
                </c:pt>
                <c:pt idx="10">
                  <c:v>10647</c:v>
                </c:pt>
                <c:pt idx="11">
                  <c:v>14175</c:v>
                </c:pt>
                <c:pt idx="12">
                  <c:v>17198</c:v>
                </c:pt>
                <c:pt idx="13">
                  <c:v>21792</c:v>
                </c:pt>
                <c:pt idx="14">
                  <c:v>24685</c:v>
                </c:pt>
                <c:pt idx="15">
                  <c:v>27992</c:v>
                </c:pt>
                <c:pt idx="16">
                  <c:v>34316</c:v>
                </c:pt>
                <c:pt idx="17">
                  <c:v>37147</c:v>
                </c:pt>
                <c:pt idx="18">
                  <c:v>40406</c:v>
                </c:pt>
                <c:pt idx="19">
                  <c:v>45326</c:v>
                </c:pt>
                <c:pt idx="20">
                  <c:v>49281</c:v>
                </c:pt>
                <c:pt idx="21">
                  <c:v>53559</c:v>
                </c:pt>
                <c:pt idx="22">
                  <c:v>59241</c:v>
                </c:pt>
                <c:pt idx="23">
                  <c:v>60794</c:v>
                </c:pt>
                <c:pt idx="24">
                  <c:v>67724</c:v>
                </c:pt>
                <c:pt idx="25">
                  <c:v>75507</c:v>
                </c:pt>
                <c:pt idx="26">
                  <c:v>78319</c:v>
                </c:pt>
                <c:pt idx="27">
                  <c:v>84581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F-43DA-823F-7EEAE7EAA800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BLAS Time in microseconds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Data!$L$2:$L$29</c:f>
              <c:numCache>
                <c:formatCode>General</c:formatCode>
                <c:ptCount val="28"/>
                <c:pt idx="0">
                  <c:v>4131</c:v>
                </c:pt>
                <c:pt idx="1">
                  <c:v>4</c:v>
                </c:pt>
                <c:pt idx="2">
                  <c:v>5</c:v>
                </c:pt>
                <c:pt idx="3">
                  <c:v>7345</c:v>
                </c:pt>
                <c:pt idx="4">
                  <c:v>316</c:v>
                </c:pt>
                <c:pt idx="5">
                  <c:v>367</c:v>
                </c:pt>
                <c:pt idx="6">
                  <c:v>315</c:v>
                </c:pt>
                <c:pt idx="7">
                  <c:v>268</c:v>
                </c:pt>
                <c:pt idx="8">
                  <c:v>350</c:v>
                </c:pt>
                <c:pt idx="9">
                  <c:v>462</c:v>
                </c:pt>
                <c:pt idx="10">
                  <c:v>402</c:v>
                </c:pt>
                <c:pt idx="11">
                  <c:v>673</c:v>
                </c:pt>
                <c:pt idx="12">
                  <c:v>1005</c:v>
                </c:pt>
                <c:pt idx="13">
                  <c:v>1193</c:v>
                </c:pt>
                <c:pt idx="14">
                  <c:v>1711</c:v>
                </c:pt>
                <c:pt idx="15">
                  <c:v>1970</c:v>
                </c:pt>
                <c:pt idx="16">
                  <c:v>2523</c:v>
                </c:pt>
                <c:pt idx="17">
                  <c:v>3077</c:v>
                </c:pt>
                <c:pt idx="18">
                  <c:v>3551</c:v>
                </c:pt>
                <c:pt idx="19">
                  <c:v>4423</c:v>
                </c:pt>
                <c:pt idx="20">
                  <c:v>5049</c:v>
                </c:pt>
                <c:pt idx="21">
                  <c:v>5808</c:v>
                </c:pt>
                <c:pt idx="22">
                  <c:v>7500</c:v>
                </c:pt>
                <c:pt idx="23">
                  <c:v>7728</c:v>
                </c:pt>
                <c:pt idx="24">
                  <c:v>8519</c:v>
                </c:pt>
                <c:pt idx="25">
                  <c:v>9659</c:v>
                </c:pt>
                <c:pt idx="26">
                  <c:v>10537</c:v>
                </c:pt>
                <c:pt idx="27">
                  <c:v>11031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F-43DA-823F-7EEAE7EAA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075743"/>
        <c:axId val="634076703"/>
      </c:lineChart>
      <c:catAx>
        <c:axId val="63407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76703"/>
        <c:crosses val="autoZero"/>
        <c:auto val="1"/>
        <c:lblAlgn val="ctr"/>
        <c:lblOffset val="100"/>
        <c:noMultiLvlLbl val="0"/>
      </c:catAx>
      <c:valAx>
        <c:axId val="63407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7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Vector Multiplication: Size vs Residual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Sequential Residual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Data!$G$2:$G$29</c:f>
              <c:numCache>
                <c:formatCode>0.00E+00</c:formatCode>
                <c:ptCount val="28"/>
                <c:pt idx="0">
                  <c:v>1.06581E-14</c:v>
                </c:pt>
                <c:pt idx="1">
                  <c:v>4.4497699999999997E-14</c:v>
                </c:pt>
                <c:pt idx="2">
                  <c:v>1.1110199999999999E-13</c:v>
                </c:pt>
                <c:pt idx="3">
                  <c:v>1.71925E-13</c:v>
                </c:pt>
                <c:pt idx="4">
                  <c:v>2.4915599999999998E-13</c:v>
                </c:pt>
                <c:pt idx="5">
                  <c:v>3.2809799999999999E-13</c:v>
                </c:pt>
                <c:pt idx="6">
                  <c:v>4.9148599999999997E-13</c:v>
                </c:pt>
                <c:pt idx="7">
                  <c:v>5.3123299999999996E-13</c:v>
                </c:pt>
                <c:pt idx="8">
                  <c:v>6.9979399999999998E-13</c:v>
                </c:pt>
                <c:pt idx="9">
                  <c:v>9.0310500000000002E-13</c:v>
                </c:pt>
                <c:pt idx="10">
                  <c:v>1.2857000000000001E-12</c:v>
                </c:pt>
                <c:pt idx="11">
                  <c:v>1.78134E-12</c:v>
                </c:pt>
                <c:pt idx="12">
                  <c:v>2.3034100000000002E-12</c:v>
                </c:pt>
                <c:pt idx="13">
                  <c:v>2.6061299999999999E-12</c:v>
                </c:pt>
                <c:pt idx="14">
                  <c:v>2.9908499999999999E-12</c:v>
                </c:pt>
                <c:pt idx="15">
                  <c:v>3.4749899999999999E-12</c:v>
                </c:pt>
                <c:pt idx="16">
                  <c:v>4.1006599999999996E-12</c:v>
                </c:pt>
                <c:pt idx="17">
                  <c:v>4.34338E-12</c:v>
                </c:pt>
                <c:pt idx="18">
                  <c:v>4.7156300000000002E-12</c:v>
                </c:pt>
                <c:pt idx="19">
                  <c:v>5.2724E-12</c:v>
                </c:pt>
                <c:pt idx="20">
                  <c:v>5.66611E-12</c:v>
                </c:pt>
                <c:pt idx="21">
                  <c:v>6.24232E-12</c:v>
                </c:pt>
                <c:pt idx="22">
                  <c:v>6.6243600000000003E-12</c:v>
                </c:pt>
                <c:pt idx="23">
                  <c:v>7.1208200000000003E-12</c:v>
                </c:pt>
                <c:pt idx="24">
                  <c:v>7.5915400000000002E-12</c:v>
                </c:pt>
                <c:pt idx="25">
                  <c:v>7.9592199999999997E-12</c:v>
                </c:pt>
                <c:pt idx="26">
                  <c:v>8.3171100000000007E-12</c:v>
                </c:pt>
                <c:pt idx="27">
                  <c:v>8.8501600000000007E-12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A-4FEA-B1D1-D38B636A3A59}"/>
            </c:ext>
          </c:extLst>
        </c:ser>
        <c:ser>
          <c:idx val="1"/>
          <c:order val="1"/>
          <c:tx>
            <c:strRef>
              <c:f>Data!$K$1</c:f>
              <c:strCache>
                <c:ptCount val="1"/>
                <c:pt idx="0">
                  <c:v>Parallel Residual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Data!$K$2:$K$29</c:f>
              <c:numCache>
                <c:formatCode>0.00E+00</c:formatCode>
                <c:ptCount val="28"/>
                <c:pt idx="0">
                  <c:v>1.06581E-14</c:v>
                </c:pt>
                <c:pt idx="1">
                  <c:v>4.4497699999999997E-14</c:v>
                </c:pt>
                <c:pt idx="2">
                  <c:v>1.1110199999999999E-13</c:v>
                </c:pt>
                <c:pt idx="3">
                  <c:v>1.71925E-13</c:v>
                </c:pt>
                <c:pt idx="4">
                  <c:v>2.4915599999999998E-13</c:v>
                </c:pt>
                <c:pt idx="5">
                  <c:v>3.2809799999999999E-13</c:v>
                </c:pt>
                <c:pt idx="6">
                  <c:v>4.9148599999999997E-13</c:v>
                </c:pt>
                <c:pt idx="7">
                  <c:v>5.3123299999999996E-13</c:v>
                </c:pt>
                <c:pt idx="8">
                  <c:v>6.9979399999999998E-13</c:v>
                </c:pt>
                <c:pt idx="9">
                  <c:v>9.0310500000000002E-13</c:v>
                </c:pt>
                <c:pt idx="10">
                  <c:v>1.2857000000000001E-12</c:v>
                </c:pt>
                <c:pt idx="11">
                  <c:v>1.78134E-12</c:v>
                </c:pt>
                <c:pt idx="12">
                  <c:v>2.3034100000000002E-12</c:v>
                </c:pt>
                <c:pt idx="13">
                  <c:v>2.6061299999999999E-12</c:v>
                </c:pt>
                <c:pt idx="14">
                  <c:v>2.9908499999999999E-12</c:v>
                </c:pt>
                <c:pt idx="15">
                  <c:v>3.4749899999999999E-12</c:v>
                </c:pt>
                <c:pt idx="16">
                  <c:v>4.1006599999999996E-12</c:v>
                </c:pt>
                <c:pt idx="17">
                  <c:v>4.34338E-12</c:v>
                </c:pt>
                <c:pt idx="18">
                  <c:v>4.7156300000000002E-12</c:v>
                </c:pt>
                <c:pt idx="19">
                  <c:v>5.2724E-12</c:v>
                </c:pt>
                <c:pt idx="20">
                  <c:v>5.66611E-12</c:v>
                </c:pt>
                <c:pt idx="21">
                  <c:v>6.24232E-12</c:v>
                </c:pt>
                <c:pt idx="22">
                  <c:v>6.6243600000000003E-12</c:v>
                </c:pt>
                <c:pt idx="23">
                  <c:v>7.1208200000000003E-12</c:v>
                </c:pt>
                <c:pt idx="24">
                  <c:v>7.5915400000000002E-12</c:v>
                </c:pt>
                <c:pt idx="25">
                  <c:v>7.9592199999999997E-12</c:v>
                </c:pt>
                <c:pt idx="26">
                  <c:v>8.3171100000000007E-12</c:v>
                </c:pt>
                <c:pt idx="27">
                  <c:v>8.8501600000000007E-12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A-4FEA-B1D1-D38B636A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64736"/>
        <c:axId val="687158016"/>
      </c:lineChart>
      <c:catAx>
        <c:axId val="68716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8016"/>
        <c:crosses val="autoZero"/>
        <c:auto val="1"/>
        <c:lblAlgn val="ctr"/>
        <c:lblOffset val="100"/>
        <c:noMultiLvlLbl val="0"/>
      </c:catAx>
      <c:valAx>
        <c:axId val="6871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6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 Multiplication: Size vs Flops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Theoretical Peak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Data!$C$2:$C$29</c:f>
              <c:numCache>
                <c:formatCode>General</c:formatCode>
                <c:ptCount val="28"/>
                <c:pt idx="0">
                  <c:v>68349600000</c:v>
                </c:pt>
                <c:pt idx="1">
                  <c:v>70315520000</c:v>
                </c:pt>
                <c:pt idx="2">
                  <c:v>70378880000</c:v>
                </c:pt>
                <c:pt idx="3">
                  <c:v>70397536000</c:v>
                </c:pt>
                <c:pt idx="4">
                  <c:v>70398592000</c:v>
                </c:pt>
                <c:pt idx="5">
                  <c:v>70399296000</c:v>
                </c:pt>
                <c:pt idx="6">
                  <c:v>70399648000</c:v>
                </c:pt>
                <c:pt idx="7">
                  <c:v>70400000000</c:v>
                </c:pt>
                <c:pt idx="8">
                  <c:v>70400000000</c:v>
                </c:pt>
                <c:pt idx="9">
                  <c:v>70400000000</c:v>
                </c:pt>
                <c:pt idx="10">
                  <c:v>70400000000</c:v>
                </c:pt>
                <c:pt idx="11">
                  <c:v>70400000000</c:v>
                </c:pt>
                <c:pt idx="12">
                  <c:v>70400000000</c:v>
                </c:pt>
                <c:pt idx="13">
                  <c:v>70400000000</c:v>
                </c:pt>
                <c:pt idx="14">
                  <c:v>70400000000</c:v>
                </c:pt>
                <c:pt idx="15">
                  <c:v>70400000000</c:v>
                </c:pt>
                <c:pt idx="16">
                  <c:v>70400000000</c:v>
                </c:pt>
                <c:pt idx="17">
                  <c:v>70400000000</c:v>
                </c:pt>
                <c:pt idx="18">
                  <c:v>70400000000</c:v>
                </c:pt>
                <c:pt idx="19">
                  <c:v>70400000000</c:v>
                </c:pt>
                <c:pt idx="20">
                  <c:v>70400000000</c:v>
                </c:pt>
                <c:pt idx="21">
                  <c:v>70400000000</c:v>
                </c:pt>
                <c:pt idx="22">
                  <c:v>70400000000</c:v>
                </c:pt>
                <c:pt idx="23">
                  <c:v>70400000000</c:v>
                </c:pt>
                <c:pt idx="24">
                  <c:v>70400000000</c:v>
                </c:pt>
                <c:pt idx="25">
                  <c:v>70400000000</c:v>
                </c:pt>
                <c:pt idx="26">
                  <c:v>70400000000</c:v>
                </c:pt>
                <c:pt idx="27">
                  <c:v>70400000000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F-4EA3-9BAD-E3FCA5DF8030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Sequential Flops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Data!$E$2:$E$29</c:f>
              <c:numCache>
                <c:formatCode>0.00E+00</c:formatCode>
                <c:ptCount val="28"/>
                <c:pt idx="0" formatCode="General">
                  <c:v>0</c:v>
                </c:pt>
                <c:pt idx="1">
                  <c:v>454545000</c:v>
                </c:pt>
                <c:pt idx="2">
                  <c:v>465116000</c:v>
                </c:pt>
                <c:pt idx="3">
                  <c:v>454545000</c:v>
                </c:pt>
                <c:pt idx="4">
                  <c:v>466321000</c:v>
                </c:pt>
                <c:pt idx="5">
                  <c:v>508744000</c:v>
                </c:pt>
                <c:pt idx="6">
                  <c:v>467727000</c:v>
                </c:pt>
                <c:pt idx="7">
                  <c:v>509194000</c:v>
                </c:pt>
                <c:pt idx="8">
                  <c:v>500195000</c:v>
                </c:pt>
                <c:pt idx="9">
                  <c:v>489836000</c:v>
                </c:pt>
                <c:pt idx="10">
                  <c:v>480051000</c:v>
                </c:pt>
                <c:pt idx="11">
                  <c:v>500375000</c:v>
                </c:pt>
                <c:pt idx="12">
                  <c:v>499321000</c:v>
                </c:pt>
                <c:pt idx="13">
                  <c:v>494764000</c:v>
                </c:pt>
                <c:pt idx="14">
                  <c:v>490589000</c:v>
                </c:pt>
                <c:pt idx="15">
                  <c:v>499080000</c:v>
                </c:pt>
                <c:pt idx="16">
                  <c:v>499316000</c:v>
                </c:pt>
                <c:pt idx="17">
                  <c:v>499970000</c:v>
                </c:pt>
                <c:pt idx="18">
                  <c:v>488179000</c:v>
                </c:pt>
                <c:pt idx="19">
                  <c:v>501354000</c:v>
                </c:pt>
                <c:pt idx="20">
                  <c:v>497275000</c:v>
                </c:pt>
                <c:pt idx="21">
                  <c:v>493218000</c:v>
                </c:pt>
                <c:pt idx="22">
                  <c:v>492742000</c:v>
                </c:pt>
                <c:pt idx="23">
                  <c:v>498802000</c:v>
                </c:pt>
                <c:pt idx="24">
                  <c:v>498364000</c:v>
                </c:pt>
                <c:pt idx="25">
                  <c:v>499852000</c:v>
                </c:pt>
                <c:pt idx="26">
                  <c:v>499386000</c:v>
                </c:pt>
                <c:pt idx="27">
                  <c:v>497129000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F-4EA3-9BAD-E3FCA5DF8030}"/>
            </c:ext>
          </c:extLst>
        </c:ser>
        <c:ser>
          <c:idx val="2"/>
          <c:order val="2"/>
          <c:tx>
            <c:strRef>
              <c:f>Data!$I$1</c:f>
              <c:strCache>
                <c:ptCount val="1"/>
                <c:pt idx="0">
                  <c:v>Parallel Flops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Data!$I$2:$I$29</c:f>
              <c:numCache>
                <c:formatCode>0.00E+00</c:formatCode>
                <c:ptCount val="28"/>
                <c:pt idx="0" formatCode="General">
                  <c:v>615385</c:v>
                </c:pt>
                <c:pt idx="1">
                  <c:v>9980040</c:v>
                </c:pt>
                <c:pt idx="2">
                  <c:v>21436200</c:v>
                </c:pt>
                <c:pt idx="3">
                  <c:v>39564800</c:v>
                </c:pt>
                <c:pt idx="4">
                  <c:v>70395000</c:v>
                </c:pt>
                <c:pt idx="5">
                  <c:v>91664300</c:v>
                </c:pt>
                <c:pt idx="6">
                  <c:v>129702000</c:v>
                </c:pt>
                <c:pt idx="7">
                  <c:v>180270000</c:v>
                </c:pt>
                <c:pt idx="8">
                  <c:v>219253000</c:v>
                </c:pt>
                <c:pt idx="9">
                  <c:v>262295000</c:v>
                </c:pt>
                <c:pt idx="10">
                  <c:v>422654000</c:v>
                </c:pt>
                <c:pt idx="11">
                  <c:v>564374000</c:v>
                </c:pt>
                <c:pt idx="12">
                  <c:v>726829000</c:v>
                </c:pt>
                <c:pt idx="13">
                  <c:v>825991000</c:v>
                </c:pt>
                <c:pt idx="14">
                  <c:v>992506000</c:v>
                </c:pt>
                <c:pt idx="15">
                  <c:v>1143180000</c:v>
                </c:pt>
                <c:pt idx="16">
                  <c:v>1180210000</c:v>
                </c:pt>
                <c:pt idx="17">
                  <c:v>1346000000</c:v>
                </c:pt>
                <c:pt idx="18">
                  <c:v>1497300000</c:v>
                </c:pt>
                <c:pt idx="19">
                  <c:v>1588490000</c:v>
                </c:pt>
                <c:pt idx="20">
                  <c:v>1714660000</c:v>
                </c:pt>
                <c:pt idx="21">
                  <c:v>1829760000</c:v>
                </c:pt>
                <c:pt idx="22">
                  <c:v>1899020000</c:v>
                </c:pt>
                <c:pt idx="23">
                  <c:v>2105470000</c:v>
                </c:pt>
                <c:pt idx="24">
                  <c:v>2133660000</c:v>
                </c:pt>
                <c:pt idx="25">
                  <c:v>2145500000</c:v>
                </c:pt>
                <c:pt idx="26">
                  <c:v>2304680000</c:v>
                </c:pt>
                <c:pt idx="27">
                  <c:v>2364600000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F-4EA3-9BAD-E3FCA5DF8030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BLAS Flops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Data!$M$2:$M$29</c:f>
              <c:numCache>
                <c:formatCode>0.00E+00</c:formatCode>
                <c:ptCount val="28"/>
                <c:pt idx="0" formatCode="General">
                  <c:v>48414.400000000001</c:v>
                </c:pt>
                <c:pt idx="1">
                  <c:v>1250000000</c:v>
                </c:pt>
                <c:pt idx="2">
                  <c:v>4000000000</c:v>
                </c:pt>
                <c:pt idx="3">
                  <c:v>10891800</c:v>
                </c:pt>
                <c:pt idx="4">
                  <c:v>569620000</c:v>
                </c:pt>
                <c:pt idx="5">
                  <c:v>871935000</c:v>
                </c:pt>
                <c:pt idx="6">
                  <c:v>1587300000</c:v>
                </c:pt>
                <c:pt idx="7">
                  <c:v>2686570000</c:v>
                </c:pt>
                <c:pt idx="8">
                  <c:v>3657140000</c:v>
                </c:pt>
                <c:pt idx="9">
                  <c:v>4329000000</c:v>
                </c:pt>
                <c:pt idx="10">
                  <c:v>11194000000</c:v>
                </c:pt>
                <c:pt idx="11">
                  <c:v>11887100000</c:v>
                </c:pt>
                <c:pt idx="12">
                  <c:v>12437800000</c:v>
                </c:pt>
                <c:pt idx="13">
                  <c:v>15088000000</c:v>
                </c:pt>
                <c:pt idx="14">
                  <c:v>14319100000</c:v>
                </c:pt>
                <c:pt idx="15">
                  <c:v>16243700000</c:v>
                </c:pt>
                <c:pt idx="16">
                  <c:v>16052300000</c:v>
                </c:pt>
                <c:pt idx="17">
                  <c:v>16249600000</c:v>
                </c:pt>
                <c:pt idx="18">
                  <c:v>17037500000</c:v>
                </c:pt>
                <c:pt idx="19">
                  <c:v>16278500000</c:v>
                </c:pt>
                <c:pt idx="20">
                  <c:v>16736000000</c:v>
                </c:pt>
                <c:pt idx="21">
                  <c:v>16873300000</c:v>
                </c:pt>
                <c:pt idx="22">
                  <c:v>15000000000</c:v>
                </c:pt>
                <c:pt idx="23">
                  <c:v>16563100000</c:v>
                </c:pt>
                <c:pt idx="24">
                  <c:v>16962100000</c:v>
                </c:pt>
                <c:pt idx="25">
                  <c:v>16771900000</c:v>
                </c:pt>
                <c:pt idx="26">
                  <c:v>17130100000</c:v>
                </c:pt>
                <c:pt idx="27">
                  <c:v>18130700000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1F-4EA3-9BAD-E3FCA5DF8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55152"/>
        <c:axId val="1247354192"/>
      </c:lineChart>
      <c:catAx>
        <c:axId val="12473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54192"/>
        <c:crosses val="autoZero"/>
        <c:auto val="1"/>
        <c:lblAlgn val="ctr"/>
        <c:lblOffset val="100"/>
        <c:noMultiLvlLbl val="0"/>
      </c:catAx>
      <c:valAx>
        <c:axId val="12473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</a:t>
            </a:r>
            <a:r>
              <a:rPr lang="en-US" baseline="0"/>
              <a:t> Multiplication: Size vs 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Sequential Efficiency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Data!$F$2:$F$29</c:f>
              <c:numCache>
                <c:formatCode>General</c:formatCode>
                <c:ptCount val="28"/>
                <c:pt idx="0">
                  <c:v>0</c:v>
                </c:pt>
                <c:pt idx="1">
                  <c:v>0.64643623484545087</c:v>
                </c:pt>
                <c:pt idx="2">
                  <c:v>0.66087439868324138</c:v>
                </c:pt>
                <c:pt idx="3">
                  <c:v>0.64568311027249592</c:v>
                </c:pt>
                <c:pt idx="4">
                  <c:v>0.66240103211155132</c:v>
                </c:pt>
                <c:pt idx="5">
                  <c:v>0.72265495382226552</c:v>
                </c:pt>
                <c:pt idx="6">
                  <c:v>0.66438826512314375</c:v>
                </c:pt>
                <c:pt idx="7">
                  <c:v>0.72328693181818182</c:v>
                </c:pt>
                <c:pt idx="8">
                  <c:v>0.71050426136363642</c:v>
                </c:pt>
                <c:pt idx="9">
                  <c:v>0.69578977272727272</c:v>
                </c:pt>
                <c:pt idx="10">
                  <c:v>0.68189062500000008</c:v>
                </c:pt>
                <c:pt idx="11">
                  <c:v>0.71075994318181823</c:v>
                </c:pt>
                <c:pt idx="12">
                  <c:v>0.70926278409090915</c:v>
                </c:pt>
                <c:pt idx="13">
                  <c:v>0.70278977272727272</c:v>
                </c:pt>
                <c:pt idx="14">
                  <c:v>0.69685937499999995</c:v>
                </c:pt>
                <c:pt idx="15">
                  <c:v>0.70892045454545449</c:v>
                </c:pt>
                <c:pt idx="16">
                  <c:v>0.70925568181818177</c:v>
                </c:pt>
                <c:pt idx="17">
                  <c:v>0.71018465909090911</c:v>
                </c:pt>
                <c:pt idx="18">
                  <c:v>0.69343607954545461</c:v>
                </c:pt>
                <c:pt idx="19">
                  <c:v>0.71215056818181821</c:v>
                </c:pt>
                <c:pt idx="20">
                  <c:v>0.70635653409090904</c:v>
                </c:pt>
                <c:pt idx="21">
                  <c:v>0.70059375000000002</c:v>
                </c:pt>
                <c:pt idx="22">
                  <c:v>0.69991761363636362</c:v>
                </c:pt>
                <c:pt idx="23">
                  <c:v>0.70852556818181822</c:v>
                </c:pt>
                <c:pt idx="24">
                  <c:v>0.7079034090909091</c:v>
                </c:pt>
                <c:pt idx="25">
                  <c:v>0.71001704545454547</c:v>
                </c:pt>
                <c:pt idx="26">
                  <c:v>0.70935511363636361</c:v>
                </c:pt>
                <c:pt idx="27">
                  <c:v>0.70614914772727266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1-4E40-8E93-4A35F408EEB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Data!$J$2:$J$29</c:f>
              <c:numCache>
                <c:formatCode>General</c:formatCode>
                <c:ptCount val="28"/>
                <c:pt idx="0">
                  <c:v>9.003490876318222E-4</c:v>
                </c:pt>
                <c:pt idx="1">
                  <c:v>1.4193225051880438E-2</c:v>
                </c:pt>
                <c:pt idx="2">
                  <c:v>3.0458285212836576E-2</c:v>
                </c:pt>
                <c:pt idx="3">
                  <c:v>5.6201967068847412E-2</c:v>
                </c:pt>
                <c:pt idx="4">
                  <c:v>9.9994897625225232E-2</c:v>
                </c:pt>
                <c:pt idx="5">
                  <c:v>0.13020627365364562</c:v>
                </c:pt>
                <c:pt idx="6">
                  <c:v>0.18423671663812866</c:v>
                </c:pt>
                <c:pt idx="7">
                  <c:v>0.25606534090909089</c:v>
                </c:pt>
                <c:pt idx="8">
                  <c:v>0.31143892045454546</c:v>
                </c:pt>
                <c:pt idx="9">
                  <c:v>0.37257812499999998</c:v>
                </c:pt>
                <c:pt idx="10">
                  <c:v>0.60036079545454546</c:v>
                </c:pt>
                <c:pt idx="11">
                  <c:v>0.80166761363636363</c:v>
                </c:pt>
                <c:pt idx="12">
                  <c:v>1.0324275568181818</c:v>
                </c:pt>
                <c:pt idx="13">
                  <c:v>1.1732826704545456</c:v>
                </c:pt>
                <c:pt idx="14">
                  <c:v>1.4098096590909093</c:v>
                </c:pt>
                <c:pt idx="15">
                  <c:v>1.6238352272727272</c:v>
                </c:pt>
                <c:pt idx="16">
                  <c:v>1.6764346590909092</c:v>
                </c:pt>
                <c:pt idx="17">
                  <c:v>1.9119318181818181</c:v>
                </c:pt>
                <c:pt idx="18">
                  <c:v>2.126846590909091</c:v>
                </c:pt>
                <c:pt idx="19">
                  <c:v>2.2563778409090909</c:v>
                </c:pt>
                <c:pt idx="20">
                  <c:v>2.4355965909090909</c:v>
                </c:pt>
                <c:pt idx="21">
                  <c:v>2.5990909090909091</c:v>
                </c:pt>
                <c:pt idx="22">
                  <c:v>2.6974715909090912</c:v>
                </c:pt>
                <c:pt idx="23">
                  <c:v>2.9907244318181818</c:v>
                </c:pt>
                <c:pt idx="24">
                  <c:v>3.0307670454545454</c:v>
                </c:pt>
                <c:pt idx="25">
                  <c:v>3.0475852272727271</c:v>
                </c:pt>
                <c:pt idx="26">
                  <c:v>3.2736931818181816</c:v>
                </c:pt>
                <c:pt idx="27">
                  <c:v>3.3588068181818183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1-4E40-8E93-4A35F408EEBF}"/>
            </c:ext>
          </c:extLst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BLAS Efficiency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Data!$A$2:$A$29</c:f>
              <c:numCache>
                <c:formatCode>General</c:formatCode>
                <c:ptCount val="2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3500</c:v>
                </c:pt>
                <c:pt idx="15">
                  <c:v>4000</c:v>
                </c:pt>
                <c:pt idx="16">
                  <c:v>4500</c:v>
                </c:pt>
                <c:pt idx="17">
                  <c:v>5000</c:v>
                </c:pt>
                <c:pt idx="18">
                  <c:v>5500</c:v>
                </c:pt>
                <c:pt idx="19">
                  <c:v>6000</c:v>
                </c:pt>
                <c:pt idx="20">
                  <c:v>6500</c:v>
                </c:pt>
                <c:pt idx="21">
                  <c:v>7000</c:v>
                </c:pt>
                <c:pt idx="22">
                  <c:v>7500</c:v>
                </c:pt>
                <c:pt idx="23">
                  <c:v>8000</c:v>
                </c:pt>
                <c:pt idx="24">
                  <c:v>8500</c:v>
                </c:pt>
                <c:pt idx="25">
                  <c:v>9000</c:v>
                </c:pt>
                <c:pt idx="26">
                  <c:v>9500</c:v>
                </c:pt>
                <c:pt idx="27">
                  <c:v>10000</c:v>
                </c:pt>
              </c:numCache>
            </c:numRef>
          </c:cat>
          <c:val>
            <c:numRef>
              <c:f>Data!$N$2:$N$29</c:f>
              <c:numCache>
                <c:formatCode>General</c:formatCode>
                <c:ptCount val="28"/>
                <c:pt idx="0">
                  <c:v>2493338.4833268961</c:v>
                </c:pt>
                <c:pt idx="1">
                  <c:v>62575090108.129753</c:v>
                </c:pt>
                <c:pt idx="2">
                  <c:v>200060018005.40161</c:v>
                </c:pt>
                <c:pt idx="3">
                  <c:v>544609061.31714606</c:v>
                </c:pt>
                <c:pt idx="4">
                  <c:v>28481569631.392628</c:v>
                </c:pt>
                <c:pt idx="5">
                  <c:v>43597185971.859718</c:v>
                </c:pt>
                <c:pt idx="6">
                  <c:v>79365396826.984146</c:v>
                </c:pt>
                <c:pt idx="7">
                  <c:v>134328500000</c:v>
                </c:pt>
                <c:pt idx="8">
                  <c:v>182857000000</c:v>
                </c:pt>
                <c:pt idx="9">
                  <c:v>216450000000</c:v>
                </c:pt>
                <c:pt idx="10">
                  <c:v>559700000000</c:v>
                </c:pt>
                <c:pt idx="11">
                  <c:v>594355000000</c:v>
                </c:pt>
                <c:pt idx="12">
                  <c:v>621890000000</c:v>
                </c:pt>
                <c:pt idx="13">
                  <c:v>754400000000</c:v>
                </c:pt>
                <c:pt idx="14">
                  <c:v>715955000000</c:v>
                </c:pt>
                <c:pt idx="15">
                  <c:v>812185000000</c:v>
                </c:pt>
                <c:pt idx="16">
                  <c:v>802615000000</c:v>
                </c:pt>
                <c:pt idx="17">
                  <c:v>812480000000</c:v>
                </c:pt>
                <c:pt idx="18">
                  <c:v>851875000000</c:v>
                </c:pt>
                <c:pt idx="19">
                  <c:v>813925000000</c:v>
                </c:pt>
                <c:pt idx="20">
                  <c:v>836800000000</c:v>
                </c:pt>
                <c:pt idx="21">
                  <c:v>843665000000</c:v>
                </c:pt>
                <c:pt idx="22">
                  <c:v>750000000000</c:v>
                </c:pt>
                <c:pt idx="23">
                  <c:v>828155000000</c:v>
                </c:pt>
                <c:pt idx="24">
                  <c:v>848105000000</c:v>
                </c:pt>
                <c:pt idx="25">
                  <c:v>838595000000</c:v>
                </c:pt>
                <c:pt idx="26">
                  <c:v>856505000000</c:v>
                </c:pt>
                <c:pt idx="27">
                  <c:v>906535000000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1-4E40-8E93-4A35F408E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524415"/>
        <c:axId val="291520095"/>
      </c:lineChart>
      <c:catAx>
        <c:axId val="29152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0095"/>
        <c:crosses val="autoZero"/>
        <c:auto val="1"/>
        <c:lblAlgn val="ctr"/>
        <c:lblOffset val="100"/>
        <c:noMultiLvlLbl val="0"/>
      </c:catAx>
      <c:valAx>
        <c:axId val="29152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 Multiplication: Size vs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Sequential Efficiency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Data!$A$2:$A$29</c15:sqref>
                  </c15:fullRef>
                </c:ext>
              </c:extLst>
              <c:f>Data!$A$3:$A$29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Data!$F$2:$F$29</c15:sqref>
                  </c15:fullRef>
                </c:ext>
              </c:extLst>
              <c:f>Data!$F$3:$F$29</c:f>
              <c:numCache>
                <c:formatCode>General</c:formatCode>
                <c:ptCount val="27"/>
                <c:pt idx="0">
                  <c:v>0.64643623484545087</c:v>
                </c:pt>
                <c:pt idx="1">
                  <c:v>0.66087439868324138</c:v>
                </c:pt>
                <c:pt idx="2">
                  <c:v>0.64568311027249592</c:v>
                </c:pt>
                <c:pt idx="3">
                  <c:v>0.66240103211155132</c:v>
                </c:pt>
                <c:pt idx="4">
                  <c:v>0.72265495382226552</c:v>
                </c:pt>
                <c:pt idx="5">
                  <c:v>0.66438826512314375</c:v>
                </c:pt>
                <c:pt idx="6">
                  <c:v>0.72328693181818182</c:v>
                </c:pt>
                <c:pt idx="7">
                  <c:v>0.71050426136363642</c:v>
                </c:pt>
                <c:pt idx="8">
                  <c:v>0.69578977272727272</c:v>
                </c:pt>
                <c:pt idx="9">
                  <c:v>0.68189062500000008</c:v>
                </c:pt>
                <c:pt idx="10">
                  <c:v>0.71075994318181823</c:v>
                </c:pt>
                <c:pt idx="11">
                  <c:v>0.70926278409090915</c:v>
                </c:pt>
                <c:pt idx="12">
                  <c:v>0.70278977272727272</c:v>
                </c:pt>
                <c:pt idx="13">
                  <c:v>0.69685937499999995</c:v>
                </c:pt>
                <c:pt idx="14">
                  <c:v>0.70892045454545449</c:v>
                </c:pt>
                <c:pt idx="15">
                  <c:v>0.70925568181818177</c:v>
                </c:pt>
                <c:pt idx="16">
                  <c:v>0.71018465909090911</c:v>
                </c:pt>
                <c:pt idx="17">
                  <c:v>0.69343607954545461</c:v>
                </c:pt>
                <c:pt idx="18">
                  <c:v>0.71215056818181821</c:v>
                </c:pt>
                <c:pt idx="19">
                  <c:v>0.70635653409090904</c:v>
                </c:pt>
                <c:pt idx="20">
                  <c:v>0.70059375000000002</c:v>
                </c:pt>
                <c:pt idx="21">
                  <c:v>0.69991761363636362</c:v>
                </c:pt>
                <c:pt idx="22">
                  <c:v>0.70852556818181822</c:v>
                </c:pt>
                <c:pt idx="23">
                  <c:v>0.7079034090909091</c:v>
                </c:pt>
                <c:pt idx="24">
                  <c:v>0.71001704545454547</c:v>
                </c:pt>
                <c:pt idx="25">
                  <c:v>0.70935511363636361</c:v>
                </c:pt>
                <c:pt idx="26">
                  <c:v>0.70614914772727266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3-40B0-BE4B-09796C5348FB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Data!$A$2:$A$29</c15:sqref>
                  </c15:fullRef>
                </c:ext>
              </c:extLst>
              <c:f>Data!$A$3:$A$29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Data!$J$2:$J$29</c15:sqref>
                  </c15:fullRef>
                </c:ext>
              </c:extLst>
              <c:f>Data!$J$3:$J$29</c:f>
              <c:numCache>
                <c:formatCode>General</c:formatCode>
                <c:ptCount val="27"/>
                <c:pt idx="0">
                  <c:v>1.4193225051880438E-2</c:v>
                </c:pt>
                <c:pt idx="1">
                  <c:v>3.0458285212836576E-2</c:v>
                </c:pt>
                <c:pt idx="2">
                  <c:v>5.6201967068847412E-2</c:v>
                </c:pt>
                <c:pt idx="3">
                  <c:v>9.9994897625225232E-2</c:v>
                </c:pt>
                <c:pt idx="4">
                  <c:v>0.13020627365364562</c:v>
                </c:pt>
                <c:pt idx="5">
                  <c:v>0.18423671663812866</c:v>
                </c:pt>
                <c:pt idx="6">
                  <c:v>0.25606534090909089</c:v>
                </c:pt>
                <c:pt idx="7">
                  <c:v>0.31143892045454546</c:v>
                </c:pt>
                <c:pt idx="8">
                  <c:v>0.37257812499999998</c:v>
                </c:pt>
                <c:pt idx="9">
                  <c:v>0.60036079545454546</c:v>
                </c:pt>
                <c:pt idx="10">
                  <c:v>0.80166761363636363</c:v>
                </c:pt>
                <c:pt idx="11">
                  <c:v>1.0324275568181818</c:v>
                </c:pt>
                <c:pt idx="12">
                  <c:v>1.1732826704545456</c:v>
                </c:pt>
                <c:pt idx="13">
                  <c:v>1.4098096590909093</c:v>
                </c:pt>
                <c:pt idx="14">
                  <c:v>1.6238352272727272</c:v>
                </c:pt>
                <c:pt idx="15">
                  <c:v>1.6764346590909092</c:v>
                </c:pt>
                <c:pt idx="16">
                  <c:v>1.9119318181818181</c:v>
                </c:pt>
                <c:pt idx="17">
                  <c:v>2.126846590909091</c:v>
                </c:pt>
                <c:pt idx="18">
                  <c:v>2.2563778409090909</c:v>
                </c:pt>
                <c:pt idx="19">
                  <c:v>2.4355965909090909</c:v>
                </c:pt>
                <c:pt idx="20">
                  <c:v>2.5990909090909091</c:v>
                </c:pt>
                <c:pt idx="21">
                  <c:v>2.6974715909090912</c:v>
                </c:pt>
                <c:pt idx="22">
                  <c:v>2.9907244318181818</c:v>
                </c:pt>
                <c:pt idx="23">
                  <c:v>3.0307670454545454</c:v>
                </c:pt>
                <c:pt idx="24">
                  <c:v>3.0475852272727271</c:v>
                </c:pt>
                <c:pt idx="25">
                  <c:v>3.2736931818181816</c:v>
                </c:pt>
                <c:pt idx="26">
                  <c:v>3.3588068181818183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3-40B0-BE4B-09796C534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311616"/>
        <c:axId val="1032321232"/>
      </c:lineChart>
      <c:catAx>
        <c:axId val="10353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21232"/>
        <c:crosses val="autoZero"/>
        <c:auto val="1"/>
        <c:lblAlgn val="ctr"/>
        <c:lblOffset val="100"/>
        <c:noMultiLvlLbl val="0"/>
      </c:catAx>
      <c:valAx>
        <c:axId val="10323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 Multiplication:</a:t>
            </a:r>
            <a:r>
              <a:rPr lang="en-US" baseline="0"/>
              <a:t> Size vs Flops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Sequential Flops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Data!$A$2:$A$29</c15:sqref>
                  </c15:fullRef>
                </c:ext>
              </c:extLst>
              <c:f>Data!$A$3:$A$29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Data!$E$2:$E$29</c15:sqref>
                  </c15:fullRef>
                </c:ext>
              </c:extLst>
              <c:f>Data!$E$3:$E$29</c:f>
              <c:numCache>
                <c:formatCode>0.00E+00</c:formatCode>
                <c:ptCount val="27"/>
                <c:pt idx="0">
                  <c:v>454545000</c:v>
                </c:pt>
                <c:pt idx="1">
                  <c:v>465116000</c:v>
                </c:pt>
                <c:pt idx="2">
                  <c:v>454545000</c:v>
                </c:pt>
                <c:pt idx="3">
                  <c:v>466321000</c:v>
                </c:pt>
                <c:pt idx="4">
                  <c:v>508744000</c:v>
                </c:pt>
                <c:pt idx="5">
                  <c:v>467727000</c:v>
                </c:pt>
                <c:pt idx="6">
                  <c:v>509194000</c:v>
                </c:pt>
                <c:pt idx="7">
                  <c:v>500195000</c:v>
                </c:pt>
                <c:pt idx="8">
                  <c:v>489836000</c:v>
                </c:pt>
                <c:pt idx="9">
                  <c:v>480051000</c:v>
                </c:pt>
                <c:pt idx="10">
                  <c:v>500375000</c:v>
                </c:pt>
                <c:pt idx="11">
                  <c:v>499321000</c:v>
                </c:pt>
                <c:pt idx="12">
                  <c:v>494764000</c:v>
                </c:pt>
                <c:pt idx="13">
                  <c:v>490589000</c:v>
                </c:pt>
                <c:pt idx="14">
                  <c:v>499080000</c:v>
                </c:pt>
                <c:pt idx="15">
                  <c:v>499316000</c:v>
                </c:pt>
                <c:pt idx="16">
                  <c:v>499970000</c:v>
                </c:pt>
                <c:pt idx="17">
                  <c:v>488179000</c:v>
                </c:pt>
                <c:pt idx="18">
                  <c:v>501354000</c:v>
                </c:pt>
                <c:pt idx="19">
                  <c:v>497275000</c:v>
                </c:pt>
                <c:pt idx="20">
                  <c:v>493218000</c:v>
                </c:pt>
                <c:pt idx="21">
                  <c:v>492742000</c:v>
                </c:pt>
                <c:pt idx="22">
                  <c:v>498802000</c:v>
                </c:pt>
                <c:pt idx="23">
                  <c:v>498364000</c:v>
                </c:pt>
                <c:pt idx="24">
                  <c:v>499852000</c:v>
                </c:pt>
                <c:pt idx="25">
                  <c:v>499386000</c:v>
                </c:pt>
                <c:pt idx="26">
                  <c:v>497129000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2-436B-8B59-0C4C5B04BE55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Parallel Flops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Data!$A$2:$A$29</c15:sqref>
                  </c15:fullRef>
                </c:ext>
              </c:extLst>
              <c:f>Data!$A$3:$A$29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Data!$I$2:$I$29</c15:sqref>
                  </c15:fullRef>
                </c:ext>
              </c:extLst>
              <c:f>Data!$I$3:$I$29</c:f>
              <c:numCache>
                <c:formatCode>0.00E+00</c:formatCode>
                <c:ptCount val="27"/>
                <c:pt idx="0">
                  <c:v>9980040</c:v>
                </c:pt>
                <c:pt idx="1">
                  <c:v>21436200</c:v>
                </c:pt>
                <c:pt idx="2">
                  <c:v>39564800</c:v>
                </c:pt>
                <c:pt idx="3">
                  <c:v>70395000</c:v>
                </c:pt>
                <c:pt idx="4">
                  <c:v>91664300</c:v>
                </c:pt>
                <c:pt idx="5">
                  <c:v>129702000</c:v>
                </c:pt>
                <c:pt idx="6">
                  <c:v>180270000</c:v>
                </c:pt>
                <c:pt idx="7">
                  <c:v>219253000</c:v>
                </c:pt>
                <c:pt idx="8">
                  <c:v>262295000</c:v>
                </c:pt>
                <c:pt idx="9">
                  <c:v>422654000</c:v>
                </c:pt>
                <c:pt idx="10">
                  <c:v>564374000</c:v>
                </c:pt>
                <c:pt idx="11">
                  <c:v>726829000</c:v>
                </c:pt>
                <c:pt idx="12">
                  <c:v>825991000</c:v>
                </c:pt>
                <c:pt idx="13">
                  <c:v>992506000</c:v>
                </c:pt>
                <c:pt idx="14">
                  <c:v>1143180000</c:v>
                </c:pt>
                <c:pt idx="15">
                  <c:v>1180210000</c:v>
                </c:pt>
                <c:pt idx="16">
                  <c:v>1346000000</c:v>
                </c:pt>
                <c:pt idx="17">
                  <c:v>1497300000</c:v>
                </c:pt>
                <c:pt idx="18">
                  <c:v>1588490000</c:v>
                </c:pt>
                <c:pt idx="19">
                  <c:v>1714660000</c:v>
                </c:pt>
                <c:pt idx="20">
                  <c:v>1829760000</c:v>
                </c:pt>
                <c:pt idx="21">
                  <c:v>1899020000</c:v>
                </c:pt>
                <c:pt idx="22">
                  <c:v>2105470000</c:v>
                </c:pt>
                <c:pt idx="23">
                  <c:v>2133660000</c:v>
                </c:pt>
                <c:pt idx="24">
                  <c:v>2145500000</c:v>
                </c:pt>
                <c:pt idx="25">
                  <c:v>2304680000</c:v>
                </c:pt>
                <c:pt idx="26">
                  <c:v>2364600000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2-436B-8B59-0C4C5B04B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47472"/>
        <c:axId val="1247345552"/>
      </c:lineChart>
      <c:catAx>
        <c:axId val="124734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45552"/>
        <c:crosses val="autoZero"/>
        <c:auto val="1"/>
        <c:lblAlgn val="ctr"/>
        <c:lblOffset val="100"/>
        <c:noMultiLvlLbl val="0"/>
      </c:catAx>
      <c:valAx>
        <c:axId val="12473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4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Vector Multiplication: Size vs Sequential Flops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Machine1'!$B$1:$B$1</c:f>
              <c:strCache>
                <c:ptCount val="1"/>
                <c:pt idx="0">
                  <c:v>Sequential_Machine1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f>'Comparision with Machine1'!$B$2:$B$7</c:f>
              <c:numCache>
                <c:formatCode>0.00E+00</c:formatCode>
                <c:ptCount val="6"/>
                <c:pt idx="0">
                  <c:v>484000000</c:v>
                </c:pt>
                <c:pt idx="1">
                  <c:v>479000000</c:v>
                </c:pt>
                <c:pt idx="2">
                  <c:v>1250000000</c:v>
                </c:pt>
                <c:pt idx="3">
                  <c:v>1120000000</c:v>
                </c:pt>
                <c:pt idx="4">
                  <c:v>929000000</c:v>
                </c:pt>
                <c:pt idx="5">
                  <c:v>929000000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2-46F6-AB31-80788AC691E9}"/>
            </c:ext>
          </c:extLst>
        </c:ser>
        <c:ser>
          <c:idx val="1"/>
          <c:order val="1"/>
          <c:tx>
            <c:strRef>
              <c:f>'Comparision with Machine1'!$E$1:$E$1</c:f>
              <c:strCache>
                <c:ptCount val="1"/>
                <c:pt idx="0">
                  <c:v>Sequential_Own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f>'Comparision with Machine1'!$E$2:$E$7</c:f>
              <c:numCache>
                <c:formatCode>0.00E+00</c:formatCode>
                <c:ptCount val="6"/>
                <c:pt idx="0">
                  <c:v>465116000</c:v>
                </c:pt>
                <c:pt idx="1">
                  <c:v>489836000</c:v>
                </c:pt>
                <c:pt idx="2">
                  <c:v>500375000</c:v>
                </c:pt>
                <c:pt idx="3">
                  <c:v>499080000</c:v>
                </c:pt>
                <c:pt idx="4">
                  <c:v>498802000</c:v>
                </c:pt>
                <c:pt idx="5">
                  <c:v>497129000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2-46F6-AB31-80788AC69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51312"/>
        <c:axId val="1247352752"/>
      </c:lineChart>
      <c:catAx>
        <c:axId val="124735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52752"/>
        <c:crosses val="autoZero"/>
        <c:auto val="1"/>
        <c:lblAlgn val="ctr"/>
        <c:lblOffset val="100"/>
        <c:noMultiLvlLbl val="0"/>
      </c:catAx>
      <c:valAx>
        <c:axId val="12473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5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 Multiplication: Size vs Parallel</a:t>
            </a:r>
            <a:r>
              <a:rPr lang="en-US" baseline="0"/>
              <a:t> Flops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Machine1'!$C$1</c:f>
              <c:strCache>
                <c:ptCount val="1"/>
                <c:pt idx="0">
                  <c:v>Parallel_Machine1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Machine1'!$A$2:$A$7</c15:sqref>
                  </c15:fullRef>
                </c:ext>
              </c:extLst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Machine1'!$C$2:$C$8</c15:sqref>
                  </c15:fullRef>
                </c:ext>
              </c:extLst>
              <c:f>'Comparision with Machine1'!$C$2:$C$7</c:f>
              <c:numCache>
                <c:formatCode>0.00E+00</c:formatCode>
                <c:ptCount val="6"/>
                <c:pt idx="0">
                  <c:v>46800000</c:v>
                </c:pt>
                <c:pt idx="1">
                  <c:v>2730000000</c:v>
                </c:pt>
                <c:pt idx="2">
                  <c:v>6080000000</c:v>
                </c:pt>
                <c:pt idx="3">
                  <c:v>6700000000</c:v>
                </c:pt>
                <c:pt idx="4">
                  <c:v>6990000000</c:v>
                </c:pt>
                <c:pt idx="5">
                  <c:v>6760000000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A-46A8-9A7B-8519C1FB108F}"/>
            </c:ext>
          </c:extLst>
        </c:ser>
        <c:ser>
          <c:idx val="1"/>
          <c:order val="1"/>
          <c:tx>
            <c:strRef>
              <c:f>'Comparision with Machine1'!$F$1</c:f>
              <c:strCache>
                <c:ptCount val="1"/>
                <c:pt idx="0">
                  <c:v>Parallel_Own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Machine1'!$A$2:$A$7</c15:sqref>
                  </c15:fullRef>
                </c:ext>
              </c:extLst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Machine1'!$F$2:$F$8</c15:sqref>
                  </c15:fullRef>
                </c:ext>
              </c:extLst>
              <c:f>'Comparision with Machine1'!$F$2:$F$7</c:f>
              <c:numCache>
                <c:formatCode>0.00E+00</c:formatCode>
                <c:ptCount val="6"/>
                <c:pt idx="0">
                  <c:v>21436200</c:v>
                </c:pt>
                <c:pt idx="1">
                  <c:v>262295000</c:v>
                </c:pt>
                <c:pt idx="2">
                  <c:v>564374000</c:v>
                </c:pt>
                <c:pt idx="3">
                  <c:v>1143180000</c:v>
                </c:pt>
                <c:pt idx="4">
                  <c:v>2105470000</c:v>
                </c:pt>
                <c:pt idx="5">
                  <c:v>2364600000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A-46A8-9A7B-8519C1FB1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798240"/>
        <c:axId val="1341799200"/>
      </c:lineChart>
      <c:catAx>
        <c:axId val="13417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99200"/>
        <c:crosses val="autoZero"/>
        <c:auto val="1"/>
        <c:lblAlgn val="ctr"/>
        <c:lblOffset val="100"/>
        <c:noMultiLvlLbl val="0"/>
      </c:catAx>
      <c:valAx>
        <c:axId val="13417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Vector Multiplication: Size vs BLAS Flops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Machine1'!$D$1</c:f>
              <c:strCache>
                <c:ptCount val="1"/>
                <c:pt idx="0">
                  <c:v>BLAS_Machine1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Machine1'!$A$2:$A$7</c15:sqref>
                  </c15:fullRef>
                </c:ext>
              </c:extLst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Machine1'!$D$2:$D$8</c15:sqref>
                  </c15:fullRef>
                </c:ext>
              </c:extLst>
              <c:f>'Comparision with Machine1'!$D$2:$D$7</c:f>
              <c:numCache>
                <c:formatCode>0.00E+00</c:formatCode>
                <c:ptCount val="6"/>
                <c:pt idx="0">
                  <c:v>322000000</c:v>
                </c:pt>
                <c:pt idx="1">
                  <c:v>1020000000</c:v>
                </c:pt>
                <c:pt idx="2">
                  <c:v>2460000000</c:v>
                </c:pt>
                <c:pt idx="3">
                  <c:v>13500000000</c:v>
                </c:pt>
                <c:pt idx="4">
                  <c:v>13400000000</c:v>
                </c:pt>
                <c:pt idx="5">
                  <c:v>14000000000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D-426B-93CE-39200B0101B5}"/>
            </c:ext>
          </c:extLst>
        </c:ser>
        <c:ser>
          <c:idx val="1"/>
          <c:order val="1"/>
          <c:tx>
            <c:strRef>
              <c:f>'Comparision with Machine1'!$G$1</c:f>
              <c:strCache>
                <c:ptCount val="1"/>
                <c:pt idx="0">
                  <c:v>BLAS_Own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Machine1'!$A$2:$A$7</c15:sqref>
                  </c15:fullRef>
                </c:ext>
              </c:extLst>
              <c:f>'Comparision with Machine1'!$A$2:$A$7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Machine1'!$G$2:$G$8</c15:sqref>
                  </c15:fullRef>
                </c:ext>
              </c:extLst>
              <c:f>'Comparision with Machine1'!$G$2:$G$7</c:f>
              <c:numCache>
                <c:formatCode>0.00E+00</c:formatCode>
                <c:ptCount val="6"/>
                <c:pt idx="0">
                  <c:v>4000000000</c:v>
                </c:pt>
                <c:pt idx="1">
                  <c:v>4329000000</c:v>
                </c:pt>
                <c:pt idx="2">
                  <c:v>11887100000</c:v>
                </c:pt>
                <c:pt idx="3">
                  <c:v>16243700000</c:v>
                </c:pt>
                <c:pt idx="4">
                  <c:v>16563100000</c:v>
                </c:pt>
                <c:pt idx="5">
                  <c:v>18130700000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D-426B-93CE-39200B010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006352"/>
        <c:axId val="1404006832"/>
      </c:lineChart>
      <c:catAx>
        <c:axId val="14040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6832"/>
        <c:crosses val="autoZero"/>
        <c:auto val="1"/>
        <c:lblAlgn val="ctr"/>
        <c:lblOffset val="100"/>
        <c:noMultiLvlLbl val="0"/>
      </c:catAx>
      <c:valAx>
        <c:axId val="14040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</a:t>
            </a:r>
            <a:r>
              <a:rPr lang="en-US" baseline="0"/>
              <a:t> Multiplication: Size vs Sequential Flops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 2'!$B$1</c:f>
              <c:strCache>
                <c:ptCount val="1"/>
                <c:pt idx="0">
                  <c:v>Sequential Flops_Machine2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2'!$B$2:$B$29</c15:sqref>
                  </c15:fullRef>
                </c:ext>
              </c:extLst>
              <c:f>'Comparision with Machine 2'!$B$2:$B$28</c:f>
              <c:numCache>
                <c:formatCode>0.00E+00</c:formatCode>
                <c:ptCount val="27"/>
                <c:pt idx="0">
                  <c:v>247500000</c:v>
                </c:pt>
                <c:pt idx="1">
                  <c:v>231395000</c:v>
                </c:pt>
                <c:pt idx="2">
                  <c:v>271429000</c:v>
                </c:pt>
                <c:pt idx="3">
                  <c:v>315817000</c:v>
                </c:pt>
                <c:pt idx="4">
                  <c:v>397512000</c:v>
                </c:pt>
                <c:pt idx="5">
                  <c:v>473011000</c:v>
                </c:pt>
                <c:pt idx="6">
                  <c:v>559409000</c:v>
                </c:pt>
                <c:pt idx="7">
                  <c:v>500861000</c:v>
                </c:pt>
                <c:pt idx="8">
                  <c:v>583139000</c:v>
                </c:pt>
                <c:pt idx="9">
                  <c:v>546001000</c:v>
                </c:pt>
                <c:pt idx="10">
                  <c:v>580280000</c:v>
                </c:pt>
                <c:pt idx="11">
                  <c:v>577545000</c:v>
                </c:pt>
                <c:pt idx="12">
                  <c:v>579240000</c:v>
                </c:pt>
                <c:pt idx="13">
                  <c:v>577298000</c:v>
                </c:pt>
                <c:pt idx="14">
                  <c:v>481476000</c:v>
                </c:pt>
                <c:pt idx="15">
                  <c:v>562398000</c:v>
                </c:pt>
                <c:pt idx="16">
                  <c:v>527251000</c:v>
                </c:pt>
                <c:pt idx="17">
                  <c:v>578618000</c:v>
                </c:pt>
                <c:pt idx="18">
                  <c:v>425024000</c:v>
                </c:pt>
                <c:pt idx="19">
                  <c:v>567348000</c:v>
                </c:pt>
                <c:pt idx="20">
                  <c:v>552291000</c:v>
                </c:pt>
                <c:pt idx="21">
                  <c:v>562964000</c:v>
                </c:pt>
                <c:pt idx="22">
                  <c:v>547566000</c:v>
                </c:pt>
                <c:pt idx="23">
                  <c:v>515542000</c:v>
                </c:pt>
                <c:pt idx="24">
                  <c:v>483575000</c:v>
                </c:pt>
                <c:pt idx="25">
                  <c:v>474447000</c:v>
                </c:pt>
                <c:pt idx="26">
                  <c:v>477387000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1-410E-ACCA-5DAED1B0AFCA}"/>
            </c:ext>
          </c:extLst>
        </c:ser>
        <c:ser>
          <c:idx val="1"/>
          <c:order val="1"/>
          <c:tx>
            <c:strRef>
              <c:f>'Comparision with Machine 2'!$E$1</c:f>
              <c:strCache>
                <c:ptCount val="1"/>
                <c:pt idx="0">
                  <c:v>Sequential Flops_Own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2'!$E$2:$E$29</c15:sqref>
                  </c15:fullRef>
                </c:ext>
              </c:extLst>
              <c:f>'Comparision with Machine 2'!$E$2:$E$28</c:f>
              <c:numCache>
                <c:formatCode>0.00E+00</c:formatCode>
                <c:ptCount val="27"/>
                <c:pt idx="0">
                  <c:v>454545000</c:v>
                </c:pt>
                <c:pt idx="1">
                  <c:v>465116000</c:v>
                </c:pt>
                <c:pt idx="2">
                  <c:v>454545000</c:v>
                </c:pt>
                <c:pt idx="3">
                  <c:v>466321000</c:v>
                </c:pt>
                <c:pt idx="4">
                  <c:v>508744000</c:v>
                </c:pt>
                <c:pt idx="5">
                  <c:v>467727000</c:v>
                </c:pt>
                <c:pt idx="6">
                  <c:v>509194000</c:v>
                </c:pt>
                <c:pt idx="7">
                  <c:v>500195000</c:v>
                </c:pt>
                <c:pt idx="8">
                  <c:v>489836000</c:v>
                </c:pt>
                <c:pt idx="9">
                  <c:v>480051000</c:v>
                </c:pt>
                <c:pt idx="10">
                  <c:v>500375000</c:v>
                </c:pt>
                <c:pt idx="11">
                  <c:v>499321000</c:v>
                </c:pt>
                <c:pt idx="12">
                  <c:v>494764000</c:v>
                </c:pt>
                <c:pt idx="13">
                  <c:v>490589000</c:v>
                </c:pt>
                <c:pt idx="14">
                  <c:v>499080000</c:v>
                </c:pt>
                <c:pt idx="15">
                  <c:v>499316000</c:v>
                </c:pt>
                <c:pt idx="16">
                  <c:v>499970000</c:v>
                </c:pt>
                <c:pt idx="17">
                  <c:v>488179000</c:v>
                </c:pt>
                <c:pt idx="18">
                  <c:v>501354000</c:v>
                </c:pt>
                <c:pt idx="19">
                  <c:v>497275000</c:v>
                </c:pt>
                <c:pt idx="20">
                  <c:v>493218000</c:v>
                </c:pt>
                <c:pt idx="21">
                  <c:v>492742000</c:v>
                </c:pt>
                <c:pt idx="22">
                  <c:v>498802000</c:v>
                </c:pt>
                <c:pt idx="23">
                  <c:v>498364000</c:v>
                </c:pt>
                <c:pt idx="24">
                  <c:v>499852000</c:v>
                </c:pt>
                <c:pt idx="25">
                  <c:v>499386000</c:v>
                </c:pt>
                <c:pt idx="26">
                  <c:v>497129000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1-410E-ACCA-5DAED1B0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812096"/>
        <c:axId val="1450812576"/>
      </c:lineChart>
      <c:catAx>
        <c:axId val="14508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12576"/>
        <c:crosses val="autoZero"/>
        <c:auto val="1"/>
        <c:lblAlgn val="ctr"/>
        <c:lblOffset val="100"/>
        <c:noMultiLvlLbl val="0"/>
      </c:catAx>
      <c:valAx>
        <c:axId val="14508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Vector Multiplication: Size vs Parallel Flops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 2'!$C$1</c:f>
              <c:strCache>
                <c:ptCount val="1"/>
                <c:pt idx="0">
                  <c:v>Parallel Flops_Machine2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2'!$C$2:$C$29</c15:sqref>
                  </c15:fullRef>
                </c:ext>
              </c:extLst>
              <c:f>'Comparision with Machine 2'!$C$2:$C$28</c:f>
              <c:numCache>
                <c:formatCode>0.00E+00</c:formatCode>
                <c:ptCount val="27"/>
                <c:pt idx="0">
                  <c:v>5118920</c:v>
                </c:pt>
                <c:pt idx="1">
                  <c:v>9900500</c:v>
                </c:pt>
                <c:pt idx="2">
                  <c:v>25925900</c:v>
                </c:pt>
                <c:pt idx="3">
                  <c:v>36193400</c:v>
                </c:pt>
                <c:pt idx="4">
                  <c:v>58014200</c:v>
                </c:pt>
                <c:pt idx="5">
                  <c:v>86195000</c:v>
                </c:pt>
                <c:pt idx="6">
                  <c:v>119126000</c:v>
                </c:pt>
                <c:pt idx="7">
                  <c:v>167830000</c:v>
                </c:pt>
                <c:pt idx="8">
                  <c:v>206615000</c:v>
                </c:pt>
                <c:pt idx="9">
                  <c:v>309069000</c:v>
                </c:pt>
                <c:pt idx="10">
                  <c:v>395510000</c:v>
                </c:pt>
                <c:pt idx="11">
                  <c:v>480101000</c:v>
                </c:pt>
                <c:pt idx="12">
                  <c:v>600080000</c:v>
                </c:pt>
                <c:pt idx="13">
                  <c:v>715310000</c:v>
                </c:pt>
                <c:pt idx="14">
                  <c:v>826108000</c:v>
                </c:pt>
                <c:pt idx="15">
                  <c:v>902346000</c:v>
                </c:pt>
                <c:pt idx="16">
                  <c:v>1043540000</c:v>
                </c:pt>
                <c:pt idx="17">
                  <c:v>1100340000</c:v>
                </c:pt>
                <c:pt idx="18">
                  <c:v>1128200000</c:v>
                </c:pt>
                <c:pt idx="19">
                  <c:v>1256670000</c:v>
                </c:pt>
                <c:pt idx="20">
                  <c:v>1367870000</c:v>
                </c:pt>
                <c:pt idx="21">
                  <c:v>1419950000</c:v>
                </c:pt>
                <c:pt idx="22">
                  <c:v>1428160000</c:v>
                </c:pt>
                <c:pt idx="23">
                  <c:v>1485090000</c:v>
                </c:pt>
                <c:pt idx="24">
                  <c:v>1659640000</c:v>
                </c:pt>
                <c:pt idx="25">
                  <c:v>1630330000</c:v>
                </c:pt>
                <c:pt idx="26">
                  <c:v>1680630000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2-4CA4-90D3-FA9E963C170A}"/>
            </c:ext>
          </c:extLst>
        </c:ser>
        <c:ser>
          <c:idx val="1"/>
          <c:order val="1"/>
          <c:tx>
            <c:strRef>
              <c:f>'Comparision with Machine 2'!$F$1</c:f>
              <c:strCache>
                <c:ptCount val="1"/>
                <c:pt idx="0">
                  <c:v>Parallel Flops_Own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2'!$F$2:$F$29</c15:sqref>
                  </c15:fullRef>
                </c:ext>
              </c:extLst>
              <c:f>'Comparision with Machine 2'!$F$2:$F$28</c:f>
              <c:numCache>
                <c:formatCode>0.00E+00</c:formatCode>
                <c:ptCount val="27"/>
                <c:pt idx="0">
                  <c:v>9980040</c:v>
                </c:pt>
                <c:pt idx="1">
                  <c:v>21436200</c:v>
                </c:pt>
                <c:pt idx="2">
                  <c:v>39564800</c:v>
                </c:pt>
                <c:pt idx="3">
                  <c:v>70395000</c:v>
                </c:pt>
                <c:pt idx="4">
                  <c:v>91664300</c:v>
                </c:pt>
                <c:pt idx="5">
                  <c:v>129702000</c:v>
                </c:pt>
                <c:pt idx="6">
                  <c:v>180270000</c:v>
                </c:pt>
                <c:pt idx="7">
                  <c:v>219253000</c:v>
                </c:pt>
                <c:pt idx="8">
                  <c:v>262295000</c:v>
                </c:pt>
                <c:pt idx="9">
                  <c:v>422654000</c:v>
                </c:pt>
                <c:pt idx="10">
                  <c:v>564374000</c:v>
                </c:pt>
                <c:pt idx="11">
                  <c:v>726829000</c:v>
                </c:pt>
                <c:pt idx="12">
                  <c:v>825991000</c:v>
                </c:pt>
                <c:pt idx="13">
                  <c:v>992506000</c:v>
                </c:pt>
                <c:pt idx="14">
                  <c:v>1143180000</c:v>
                </c:pt>
                <c:pt idx="15">
                  <c:v>1180210000</c:v>
                </c:pt>
                <c:pt idx="16">
                  <c:v>1346000000</c:v>
                </c:pt>
                <c:pt idx="17">
                  <c:v>1497300000</c:v>
                </c:pt>
                <c:pt idx="18">
                  <c:v>1588490000</c:v>
                </c:pt>
                <c:pt idx="19">
                  <c:v>1714660000</c:v>
                </c:pt>
                <c:pt idx="20">
                  <c:v>1829760000</c:v>
                </c:pt>
                <c:pt idx="21">
                  <c:v>1899020000</c:v>
                </c:pt>
                <c:pt idx="22">
                  <c:v>2105470000</c:v>
                </c:pt>
                <c:pt idx="23">
                  <c:v>2133660000</c:v>
                </c:pt>
                <c:pt idx="24">
                  <c:v>2145500000</c:v>
                </c:pt>
                <c:pt idx="25">
                  <c:v>2304680000</c:v>
                </c:pt>
                <c:pt idx="26">
                  <c:v>2364600000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2-4CA4-90D3-FA9E963C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502752"/>
        <c:axId val="1345499872"/>
      </c:lineChart>
      <c:catAx>
        <c:axId val="134550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99872"/>
        <c:crosses val="autoZero"/>
        <c:auto val="1"/>
        <c:lblAlgn val="ctr"/>
        <c:lblOffset val="100"/>
        <c:noMultiLvlLbl val="0"/>
      </c:catAx>
      <c:valAx>
        <c:axId val="13454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0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 Vector Multiplication: Size vs BLAS Flops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'Comparision with Machine 2'!$D$1</c:f>
              <c:strCache>
                <c:ptCount val="1"/>
                <c:pt idx="0">
                  <c:v>BLAS Flops_Machine2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2'!$D$2:$D$29</c15:sqref>
                  </c15:fullRef>
                </c:ext>
              </c:extLst>
              <c:f>'Comparision with Machine 2'!$D$2:$D$28</c:f>
              <c:numCache>
                <c:formatCode>0.00E+00</c:formatCode>
                <c:ptCount val="27"/>
                <c:pt idx="0">
                  <c:v>4950000000</c:v>
                </c:pt>
                <c:pt idx="1">
                  <c:v>3980000000</c:v>
                </c:pt>
                <c:pt idx="2">
                  <c:v>3800000000</c:v>
                </c:pt>
                <c:pt idx="3">
                  <c:v>5285290000</c:v>
                </c:pt>
                <c:pt idx="4">
                  <c:v>6800000000</c:v>
                </c:pt>
                <c:pt idx="5">
                  <c:v>9605770000</c:v>
                </c:pt>
                <c:pt idx="6">
                  <c:v>8992500000</c:v>
                </c:pt>
                <c:pt idx="7">
                  <c:v>2464740000</c:v>
                </c:pt>
                <c:pt idx="8">
                  <c:v>13151300000</c:v>
                </c:pt>
                <c:pt idx="9">
                  <c:v>11534600000</c:v>
                </c:pt>
                <c:pt idx="10">
                  <c:v>13718700000</c:v>
                </c:pt>
                <c:pt idx="11">
                  <c:v>13540100000</c:v>
                </c:pt>
                <c:pt idx="12">
                  <c:v>13552000000</c:v>
                </c:pt>
                <c:pt idx="13">
                  <c:v>13926400000</c:v>
                </c:pt>
                <c:pt idx="14">
                  <c:v>13911300000</c:v>
                </c:pt>
                <c:pt idx="15">
                  <c:v>11700500000</c:v>
                </c:pt>
                <c:pt idx="16">
                  <c:v>13541400000</c:v>
                </c:pt>
                <c:pt idx="17">
                  <c:v>13316000000</c:v>
                </c:pt>
                <c:pt idx="18">
                  <c:v>13456800000</c:v>
                </c:pt>
                <c:pt idx="19">
                  <c:v>11794200000</c:v>
                </c:pt>
                <c:pt idx="20">
                  <c:v>13941200000</c:v>
                </c:pt>
                <c:pt idx="21">
                  <c:v>14299300000</c:v>
                </c:pt>
                <c:pt idx="22">
                  <c:v>12322300000</c:v>
                </c:pt>
                <c:pt idx="23">
                  <c:v>13019600000</c:v>
                </c:pt>
                <c:pt idx="24">
                  <c:v>14258500000</c:v>
                </c:pt>
                <c:pt idx="25">
                  <c:v>14325800000</c:v>
                </c:pt>
                <c:pt idx="26">
                  <c:v>13082400000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2-4598-9775-81791A6A453B}"/>
            </c:ext>
          </c:extLst>
        </c:ser>
        <c:ser>
          <c:idx val="1"/>
          <c:order val="1"/>
          <c:tx>
            <c:strRef>
              <c:f>'Comparision with Machine 2'!$G$1</c:f>
              <c:strCache>
                <c:ptCount val="1"/>
                <c:pt idx="0">
                  <c:v>BLAS Flops_Own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'Comparision with Machine 2'!$A$2:$A$28</c15:sqref>
                  </c15:fullRef>
                </c:ext>
              </c:extLst>
              <c:f>'Comparision with Machine 2'!$A$2:$A$28</c:f>
              <c:numCache>
                <c:formatCode>General</c:formatCode>
                <c:ptCount val="2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2500</c:v>
                </c:pt>
                <c:pt idx="12">
                  <c:v>3000</c:v>
                </c:pt>
                <c:pt idx="13">
                  <c:v>3500</c:v>
                </c:pt>
                <c:pt idx="14">
                  <c:v>4000</c:v>
                </c:pt>
                <c:pt idx="15">
                  <c:v>4500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6500</c:v>
                </c:pt>
                <c:pt idx="20">
                  <c:v>7000</c:v>
                </c:pt>
                <c:pt idx="21">
                  <c:v>7500</c:v>
                </c:pt>
                <c:pt idx="22">
                  <c:v>8000</c:v>
                </c:pt>
                <c:pt idx="23">
                  <c:v>8500</c:v>
                </c:pt>
                <c:pt idx="24">
                  <c:v>9000</c:v>
                </c:pt>
                <c:pt idx="25">
                  <c:v>9500</c:v>
                </c:pt>
                <c:pt idx="26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'Comparision with Machine 2'!$G$2:$G$29</c15:sqref>
                  </c15:fullRef>
                </c:ext>
              </c:extLst>
              <c:f>'Comparision with Machine 2'!$G$2:$G$28</c:f>
              <c:numCache>
                <c:formatCode>0.00E+00</c:formatCode>
                <c:ptCount val="27"/>
                <c:pt idx="0">
                  <c:v>1250000000</c:v>
                </c:pt>
                <c:pt idx="1">
                  <c:v>4000000000</c:v>
                </c:pt>
                <c:pt idx="2">
                  <c:v>10891800</c:v>
                </c:pt>
                <c:pt idx="3">
                  <c:v>569620000</c:v>
                </c:pt>
                <c:pt idx="4">
                  <c:v>871935000</c:v>
                </c:pt>
                <c:pt idx="5">
                  <c:v>1587300000</c:v>
                </c:pt>
                <c:pt idx="6">
                  <c:v>2686570000</c:v>
                </c:pt>
                <c:pt idx="7">
                  <c:v>3657140000</c:v>
                </c:pt>
                <c:pt idx="8">
                  <c:v>4329000000</c:v>
                </c:pt>
                <c:pt idx="9">
                  <c:v>11194000000</c:v>
                </c:pt>
                <c:pt idx="10">
                  <c:v>11887100000</c:v>
                </c:pt>
                <c:pt idx="11">
                  <c:v>12437800000</c:v>
                </c:pt>
                <c:pt idx="12">
                  <c:v>15088000000</c:v>
                </c:pt>
                <c:pt idx="13">
                  <c:v>14319100000</c:v>
                </c:pt>
                <c:pt idx="14">
                  <c:v>16243700000</c:v>
                </c:pt>
                <c:pt idx="15">
                  <c:v>16052300000</c:v>
                </c:pt>
                <c:pt idx="16">
                  <c:v>16249600000</c:v>
                </c:pt>
                <c:pt idx="17">
                  <c:v>17037500000</c:v>
                </c:pt>
                <c:pt idx="18">
                  <c:v>16278500000</c:v>
                </c:pt>
                <c:pt idx="19">
                  <c:v>16736000000</c:v>
                </c:pt>
                <c:pt idx="20">
                  <c:v>16873300000</c:v>
                </c:pt>
                <c:pt idx="21">
                  <c:v>15000000000</c:v>
                </c:pt>
                <c:pt idx="22">
                  <c:v>16563100000</c:v>
                </c:pt>
                <c:pt idx="23">
                  <c:v>16962100000</c:v>
                </c:pt>
                <c:pt idx="24">
                  <c:v>16771900000</c:v>
                </c:pt>
                <c:pt idx="25">
                  <c:v>17130100000</c:v>
                </c:pt>
                <c:pt idx="26">
                  <c:v>18130700000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2-4598-9775-81791A6A4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194800"/>
        <c:axId val="1455195280"/>
      </c:lineChart>
      <c:catAx>
        <c:axId val="14551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95280"/>
        <c:crosses val="autoZero"/>
        <c:auto val="1"/>
        <c:lblAlgn val="ctr"/>
        <c:lblOffset val="100"/>
        <c:noMultiLvlLbl val="0"/>
      </c:catAx>
      <c:valAx>
        <c:axId val="14551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9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358140</xdr:colOff>
      <xdr:row>0</xdr:row>
      <xdr:rowOff>0</xdr:rowOff>
    </xdr:from>
    <xdr:to>
      <xdr:col>22</xdr:col>
      <xdr:colOff>53340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FB6C2-D05C-B764-50A5-48B842F3C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83820</xdr:colOff>
      <xdr:row>0</xdr:row>
      <xdr:rowOff>0</xdr:rowOff>
    </xdr:from>
    <xdr:to>
      <xdr:col>29</xdr:col>
      <xdr:colOff>388620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54F5F4-257C-4353-D75B-BB78E2425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358140</xdr:colOff>
      <xdr:row>15</xdr:row>
      <xdr:rowOff>22860</xdr:rowOff>
    </xdr:from>
    <xdr:to>
      <xdr:col>22</xdr:col>
      <xdr:colOff>53340</xdr:colOff>
      <xdr:row>30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96271D-6838-0D37-F255-6DFEEC92E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83820</xdr:colOff>
      <xdr:row>15</xdr:row>
      <xdr:rowOff>22860</xdr:rowOff>
    </xdr:from>
    <xdr:to>
      <xdr:col>29</xdr:col>
      <xdr:colOff>388620</xdr:colOff>
      <xdr:row>30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DA75FC-7540-4A3D-9253-4F377334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419100</xdr:colOff>
      <xdr:row>0</xdr:row>
      <xdr:rowOff>0</xdr:rowOff>
    </xdr:from>
    <xdr:to>
      <xdr:col>37</xdr:col>
      <xdr:colOff>114300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AB7C1D-16F5-6516-0A27-D0F8EC7D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419100</xdr:colOff>
      <xdr:row>15</xdr:row>
      <xdr:rowOff>22860</xdr:rowOff>
    </xdr:from>
    <xdr:to>
      <xdr:col>37</xdr:col>
      <xdr:colOff>114300</xdr:colOff>
      <xdr:row>30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0A852A-5839-8F4F-737B-14949079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</xdr:rowOff>
    </xdr:from>
    <xdr:to>
      <xdr:col>4</xdr:col>
      <xdr:colOff>68580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EC9EA-917E-86E5-83FD-658D71D8E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99060</xdr:colOff>
      <xdr:row>8</xdr:row>
      <xdr:rowOff>7620</xdr:rowOff>
    </xdr:from>
    <xdr:to>
      <xdr:col>10</xdr:col>
      <xdr:colOff>190500</xdr:colOff>
      <xdr:row>23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69E7F4-1C1C-AAAD-31BF-37264CD6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220980</xdr:colOff>
      <xdr:row>8</xdr:row>
      <xdr:rowOff>15240</xdr:rowOff>
    </xdr:from>
    <xdr:to>
      <xdr:col>17</xdr:col>
      <xdr:colOff>525780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E7723A-09B8-BF67-BB53-3DF725DAE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0</xdr:rowOff>
    </xdr:from>
    <xdr:to>
      <xdr:col>14</xdr:col>
      <xdr:colOff>312420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37C56D-D89D-0E41-AA7D-890042446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975360</xdr:colOff>
      <xdr:row>15</xdr:row>
      <xdr:rowOff>30480</xdr:rowOff>
    </xdr:from>
    <xdr:to>
      <xdr:col>14</xdr:col>
      <xdr:colOff>297180</xdr:colOff>
      <xdr:row>30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0054D1-D118-2033-E837-CB2A5CA1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0</xdr:row>
      <xdr:rowOff>0</xdr:rowOff>
    </xdr:from>
    <xdr:to>
      <xdr:col>22</xdr:col>
      <xdr:colOff>38100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740A5B-E4A0-E95E-2165-7C9D21B75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D67E-0FA2-4610-88AD-AB1BA3D1067B}">
  <dimension ref="A1:N29"/>
  <sheetViews>
    <sheetView topLeftCell="F1" workbookViewId="0">
      <selection activeCell="M1" activeCellId="2" sqref="E1:E1048576 I1:I1048576 M1:M1048576"/>
    </sheetView>
  </sheetViews>
  <sheetFormatPr defaultRowHeight="14.4" x14ac:dyDescent="0.3"/>
  <cols>
    <col min="1" max="1" width="6" bestFit="1" customWidth="1"/>
    <col min="2" max="2" width="19.6640625" bestFit="1" customWidth="1"/>
    <col min="3" max="3" width="14.44140625" customWidth="1"/>
    <col min="4" max="4" width="27.6640625" bestFit="1" customWidth="1"/>
    <col min="5" max="5" width="14.21875" bestFit="1" customWidth="1"/>
    <col min="6" max="6" width="17.77734375" bestFit="1" customWidth="1"/>
    <col min="7" max="7" width="16.77734375" bestFit="1" customWidth="1"/>
    <col min="8" max="8" width="25.21875" bestFit="1" customWidth="1"/>
    <col min="9" max="9" width="11.77734375" bestFit="1" customWidth="1"/>
    <col min="10" max="10" width="15.33203125" bestFit="1" customWidth="1"/>
    <col min="11" max="11" width="14.44140625" bestFit="1" customWidth="1"/>
    <col min="12" max="12" width="23.21875" bestFit="1" customWidth="1"/>
    <col min="13" max="13" width="9.77734375" bestFit="1" customWidth="1"/>
    <col min="14" max="14" width="13.33203125" bestFit="1" customWidth="1"/>
  </cols>
  <sheetData>
    <row r="1" spans="1:14" x14ac:dyDescent="0.3">
      <c r="A1" t="s">
        <v>0</v>
      </c>
      <c r="B1" t="s">
        <v>11</v>
      </c>
      <c r="C1" t="s">
        <v>10</v>
      </c>
      <c r="D1" t="s">
        <v>1</v>
      </c>
      <c r="E1" t="s">
        <v>2</v>
      </c>
      <c r="F1" t="s">
        <v>12</v>
      </c>
      <c r="G1" t="s">
        <v>3</v>
      </c>
      <c r="H1" t="s">
        <v>4</v>
      </c>
      <c r="I1" t="s">
        <v>5</v>
      </c>
      <c r="J1" t="s">
        <v>13</v>
      </c>
      <c r="K1" t="s">
        <v>6</v>
      </c>
      <c r="L1" t="s">
        <v>7</v>
      </c>
      <c r="M1" t="s">
        <v>8</v>
      </c>
      <c r="N1" t="s">
        <v>14</v>
      </c>
    </row>
    <row r="2" spans="1:14" x14ac:dyDescent="0.3">
      <c r="A2">
        <v>10</v>
      </c>
      <c r="B2">
        <v>1.9417500000000001</v>
      </c>
      <c r="C2">
        <f>16*2.2*1000000000*B2</f>
        <v>68349600000</v>
      </c>
      <c r="D2">
        <v>0</v>
      </c>
      <c r="E2" t="s">
        <v>9</v>
      </c>
      <c r="F2" t="e">
        <f>E2/C2*100</f>
        <v>#VALUE!</v>
      </c>
      <c r="G2" s="1">
        <v>1.06581E-14</v>
      </c>
      <c r="H2">
        <v>325</v>
      </c>
      <c r="I2">
        <v>615385</v>
      </c>
      <c r="J2">
        <f>I2/C2*100</f>
        <v>9.003490876318222E-4</v>
      </c>
      <c r="K2" s="1">
        <v>1.06581E-14</v>
      </c>
      <c r="L2">
        <v>4131</v>
      </c>
      <c r="M2">
        <v>48414.400000000001</v>
      </c>
      <c r="N2">
        <f>M2/B2*100</f>
        <v>2493338.4833268961</v>
      </c>
    </row>
    <row r="3" spans="1:14" x14ac:dyDescent="0.3">
      <c r="A3">
        <v>50</v>
      </c>
      <c r="B3">
        <v>1.9976</v>
      </c>
      <c r="C3">
        <f t="shared" ref="C3:C29" si="0">16*2.2*1000000000*B3</f>
        <v>70315520000</v>
      </c>
      <c r="D3">
        <v>11</v>
      </c>
      <c r="E3" s="1">
        <v>454545000</v>
      </c>
      <c r="F3">
        <f t="shared" ref="F3:F29" si="1">E3/C3*100</f>
        <v>0.64643623484545087</v>
      </c>
      <c r="G3" s="1">
        <v>4.4497699999999997E-14</v>
      </c>
      <c r="H3">
        <v>501</v>
      </c>
      <c r="I3" s="1">
        <v>9980040</v>
      </c>
      <c r="J3">
        <f t="shared" ref="J3:J29" si="2">I3/C3*100</f>
        <v>1.4193225051880438E-2</v>
      </c>
      <c r="K3" s="1">
        <v>4.4497699999999997E-14</v>
      </c>
      <c r="L3">
        <v>4</v>
      </c>
      <c r="M3" s="1">
        <v>1250000000</v>
      </c>
      <c r="N3">
        <f t="shared" ref="N3:N29" si="3">M3/B3*100</f>
        <v>62575090108.129753</v>
      </c>
    </row>
    <row r="4" spans="1:14" x14ac:dyDescent="0.3">
      <c r="A4">
        <v>100</v>
      </c>
      <c r="B4">
        <v>1.9994000000000001</v>
      </c>
      <c r="C4">
        <f t="shared" si="0"/>
        <v>70378880000</v>
      </c>
      <c r="D4">
        <v>43</v>
      </c>
      <c r="E4" s="1">
        <v>465116000</v>
      </c>
      <c r="F4">
        <f t="shared" si="1"/>
        <v>0.66087439868324138</v>
      </c>
      <c r="G4" s="1">
        <v>1.1110199999999999E-13</v>
      </c>
      <c r="H4">
        <v>933</v>
      </c>
      <c r="I4" s="1">
        <v>21436200</v>
      </c>
      <c r="J4">
        <f t="shared" si="2"/>
        <v>3.0458285212836576E-2</v>
      </c>
      <c r="K4" s="1">
        <v>1.1110199999999999E-13</v>
      </c>
      <c r="L4">
        <v>5</v>
      </c>
      <c r="M4" s="1">
        <v>4000000000</v>
      </c>
      <c r="N4">
        <f t="shared" si="3"/>
        <v>200060018005.40161</v>
      </c>
    </row>
    <row r="5" spans="1:14" x14ac:dyDescent="0.3">
      <c r="A5">
        <v>200</v>
      </c>
      <c r="B5">
        <v>1.99993</v>
      </c>
      <c r="C5">
        <f t="shared" si="0"/>
        <v>70397536000</v>
      </c>
      <c r="D5">
        <v>176</v>
      </c>
      <c r="E5" s="1">
        <v>454545000</v>
      </c>
      <c r="F5">
        <f t="shared" si="1"/>
        <v>0.64568311027249592</v>
      </c>
      <c r="G5" s="1">
        <v>1.71925E-13</v>
      </c>
      <c r="H5">
        <v>2022</v>
      </c>
      <c r="I5" s="1">
        <v>39564800</v>
      </c>
      <c r="J5">
        <f t="shared" si="2"/>
        <v>5.6201967068847412E-2</v>
      </c>
      <c r="K5" s="1">
        <v>1.71925E-13</v>
      </c>
      <c r="L5">
        <v>7345</v>
      </c>
      <c r="M5" s="1">
        <v>10891800</v>
      </c>
      <c r="N5">
        <f t="shared" si="3"/>
        <v>544609061.31714606</v>
      </c>
    </row>
    <row r="6" spans="1:14" x14ac:dyDescent="0.3">
      <c r="A6">
        <v>300</v>
      </c>
      <c r="B6">
        <v>1.99996</v>
      </c>
      <c r="C6">
        <f t="shared" si="0"/>
        <v>70398592000</v>
      </c>
      <c r="D6">
        <v>386</v>
      </c>
      <c r="E6" s="1">
        <v>466321000</v>
      </c>
      <c r="F6">
        <f t="shared" si="1"/>
        <v>0.66240103211155132</v>
      </c>
      <c r="G6" s="1">
        <v>2.4915599999999998E-13</v>
      </c>
      <c r="H6">
        <v>2557</v>
      </c>
      <c r="I6" s="1">
        <v>70395000</v>
      </c>
      <c r="J6">
        <f t="shared" si="2"/>
        <v>9.9994897625225232E-2</v>
      </c>
      <c r="K6" s="1">
        <v>2.4915599999999998E-13</v>
      </c>
      <c r="L6">
        <v>316</v>
      </c>
      <c r="M6" s="1">
        <v>569620000</v>
      </c>
      <c r="N6">
        <f t="shared" si="3"/>
        <v>28481569631.392628</v>
      </c>
    </row>
    <row r="7" spans="1:14" x14ac:dyDescent="0.3">
      <c r="A7">
        <v>400</v>
      </c>
      <c r="B7">
        <v>1.9999800000000001</v>
      </c>
      <c r="C7">
        <f t="shared" si="0"/>
        <v>70399296000</v>
      </c>
      <c r="D7">
        <v>629</v>
      </c>
      <c r="E7" s="1">
        <v>508744000</v>
      </c>
      <c r="F7">
        <f t="shared" si="1"/>
        <v>0.72265495382226552</v>
      </c>
      <c r="G7" s="1">
        <v>3.2809799999999999E-13</v>
      </c>
      <c r="H7">
        <v>3491</v>
      </c>
      <c r="I7" s="1">
        <v>91664300</v>
      </c>
      <c r="J7">
        <f t="shared" si="2"/>
        <v>0.13020627365364562</v>
      </c>
      <c r="K7" s="1">
        <v>3.2809799999999999E-13</v>
      </c>
      <c r="L7">
        <v>367</v>
      </c>
      <c r="M7" s="1">
        <v>871935000</v>
      </c>
      <c r="N7">
        <f t="shared" si="3"/>
        <v>43597185971.859718</v>
      </c>
    </row>
    <row r="8" spans="1:14" x14ac:dyDescent="0.3">
      <c r="A8">
        <v>500</v>
      </c>
      <c r="B8">
        <v>1.9999899999999999</v>
      </c>
      <c r="C8">
        <f t="shared" si="0"/>
        <v>70399648000</v>
      </c>
      <c r="D8">
        <v>1069</v>
      </c>
      <c r="E8" s="1">
        <v>467727000</v>
      </c>
      <c r="F8">
        <f t="shared" si="1"/>
        <v>0.66438826512314375</v>
      </c>
      <c r="G8" s="1">
        <v>4.9148599999999997E-13</v>
      </c>
      <c r="H8">
        <v>3855</v>
      </c>
      <c r="I8" s="1">
        <v>129702000</v>
      </c>
      <c r="J8">
        <f t="shared" si="2"/>
        <v>0.18423671663812866</v>
      </c>
      <c r="K8" s="1">
        <v>4.9148599999999997E-13</v>
      </c>
      <c r="L8">
        <v>315</v>
      </c>
      <c r="M8" s="1">
        <v>1587300000</v>
      </c>
      <c r="N8">
        <f t="shared" si="3"/>
        <v>79365396826.984146</v>
      </c>
    </row>
    <row r="9" spans="1:14" x14ac:dyDescent="0.3">
      <c r="A9">
        <v>600</v>
      </c>
      <c r="B9">
        <v>2</v>
      </c>
      <c r="C9">
        <f t="shared" si="0"/>
        <v>70400000000</v>
      </c>
      <c r="D9">
        <v>1414</v>
      </c>
      <c r="E9" s="1">
        <v>509194000</v>
      </c>
      <c r="F9">
        <f t="shared" si="1"/>
        <v>0.72328693181818182</v>
      </c>
      <c r="G9" s="1">
        <v>5.3123299999999996E-13</v>
      </c>
      <c r="H9">
        <v>3994</v>
      </c>
      <c r="I9" s="1">
        <v>180270000</v>
      </c>
      <c r="J9">
        <f t="shared" si="2"/>
        <v>0.25606534090909089</v>
      </c>
      <c r="K9" s="1">
        <v>5.3123299999999996E-13</v>
      </c>
      <c r="L9">
        <v>268</v>
      </c>
      <c r="M9" s="1">
        <v>2686570000</v>
      </c>
      <c r="N9">
        <f t="shared" si="3"/>
        <v>134328500000</v>
      </c>
    </row>
    <row r="10" spans="1:14" x14ac:dyDescent="0.3">
      <c r="A10">
        <v>800</v>
      </c>
      <c r="B10">
        <v>2</v>
      </c>
      <c r="C10">
        <f t="shared" si="0"/>
        <v>70400000000</v>
      </c>
      <c r="D10">
        <v>2559</v>
      </c>
      <c r="E10" s="1">
        <v>500195000</v>
      </c>
      <c r="F10">
        <f t="shared" si="1"/>
        <v>0.71050426136363642</v>
      </c>
      <c r="G10" s="1">
        <v>6.9979399999999998E-13</v>
      </c>
      <c r="H10">
        <v>5838</v>
      </c>
      <c r="I10" s="1">
        <v>219253000</v>
      </c>
      <c r="J10">
        <f t="shared" si="2"/>
        <v>0.31143892045454546</v>
      </c>
      <c r="K10" s="1">
        <v>6.9979399999999998E-13</v>
      </c>
      <c r="L10">
        <v>350</v>
      </c>
      <c r="M10" s="1">
        <v>3657140000</v>
      </c>
      <c r="N10">
        <f t="shared" si="3"/>
        <v>182857000000</v>
      </c>
    </row>
    <row r="11" spans="1:14" x14ac:dyDescent="0.3">
      <c r="A11">
        <v>1000</v>
      </c>
      <c r="B11">
        <v>2</v>
      </c>
      <c r="C11">
        <f t="shared" si="0"/>
        <v>70400000000</v>
      </c>
      <c r="D11">
        <v>4083</v>
      </c>
      <c r="E11" s="1">
        <v>489836000</v>
      </c>
      <c r="F11">
        <f t="shared" si="1"/>
        <v>0.69578977272727272</v>
      </c>
      <c r="G11" s="1">
        <v>9.0310500000000002E-13</v>
      </c>
      <c r="H11">
        <v>7625</v>
      </c>
      <c r="I11" s="1">
        <v>262295000</v>
      </c>
      <c r="J11">
        <f t="shared" si="2"/>
        <v>0.37257812499999998</v>
      </c>
      <c r="K11" s="1">
        <v>9.0310500000000002E-13</v>
      </c>
      <c r="L11">
        <v>462</v>
      </c>
      <c r="M11" s="1">
        <v>4329000000</v>
      </c>
      <c r="N11">
        <f t="shared" si="3"/>
        <v>216450000000</v>
      </c>
    </row>
    <row r="12" spans="1:14" x14ac:dyDescent="0.3">
      <c r="A12">
        <v>1500</v>
      </c>
      <c r="B12">
        <v>2</v>
      </c>
      <c r="C12">
        <f t="shared" si="0"/>
        <v>70400000000</v>
      </c>
      <c r="D12">
        <v>9374</v>
      </c>
      <c r="E12" s="1">
        <v>480051000</v>
      </c>
      <c r="F12">
        <f t="shared" si="1"/>
        <v>0.68189062500000008</v>
      </c>
      <c r="G12" s="1">
        <v>1.2857000000000001E-12</v>
      </c>
      <c r="H12">
        <v>10647</v>
      </c>
      <c r="I12" s="1">
        <v>422654000</v>
      </c>
      <c r="J12">
        <f t="shared" si="2"/>
        <v>0.60036079545454546</v>
      </c>
      <c r="K12" s="1">
        <v>1.2857000000000001E-12</v>
      </c>
      <c r="L12">
        <v>402</v>
      </c>
      <c r="M12" s="1">
        <v>11194000000</v>
      </c>
      <c r="N12">
        <f t="shared" si="3"/>
        <v>559700000000</v>
      </c>
    </row>
    <row r="13" spans="1:14" x14ac:dyDescent="0.3">
      <c r="A13">
        <v>2000</v>
      </c>
      <c r="B13">
        <v>2</v>
      </c>
      <c r="C13">
        <f t="shared" si="0"/>
        <v>70400000000</v>
      </c>
      <c r="D13">
        <v>15988</v>
      </c>
      <c r="E13" s="1">
        <v>500375000</v>
      </c>
      <c r="F13">
        <f t="shared" si="1"/>
        <v>0.71075994318181823</v>
      </c>
      <c r="G13" s="1">
        <v>1.78134E-12</v>
      </c>
      <c r="H13">
        <v>14175</v>
      </c>
      <c r="I13" s="1">
        <v>564374000</v>
      </c>
      <c r="J13">
        <f t="shared" si="2"/>
        <v>0.80166761363636363</v>
      </c>
      <c r="K13" s="1">
        <v>1.78134E-12</v>
      </c>
      <c r="L13">
        <v>673</v>
      </c>
      <c r="M13" s="1">
        <v>11887100000</v>
      </c>
      <c r="N13">
        <f t="shared" si="3"/>
        <v>594355000000</v>
      </c>
    </row>
    <row r="14" spans="1:14" x14ac:dyDescent="0.3">
      <c r="A14">
        <v>2500</v>
      </c>
      <c r="B14">
        <v>2</v>
      </c>
      <c r="C14">
        <f t="shared" si="0"/>
        <v>70400000000</v>
      </c>
      <c r="D14">
        <v>25034</v>
      </c>
      <c r="E14" s="1">
        <v>499321000</v>
      </c>
      <c r="F14">
        <f t="shared" si="1"/>
        <v>0.70926278409090915</v>
      </c>
      <c r="G14" s="1">
        <v>2.3034100000000002E-12</v>
      </c>
      <c r="H14">
        <v>17198</v>
      </c>
      <c r="I14" s="1">
        <v>726829000</v>
      </c>
      <c r="J14">
        <f t="shared" si="2"/>
        <v>1.0324275568181818</v>
      </c>
      <c r="K14" s="1">
        <v>2.3034100000000002E-12</v>
      </c>
      <c r="L14">
        <v>1005</v>
      </c>
      <c r="M14" s="1">
        <v>12437800000</v>
      </c>
      <c r="N14">
        <f t="shared" si="3"/>
        <v>621890000000</v>
      </c>
    </row>
    <row r="15" spans="1:14" x14ac:dyDescent="0.3">
      <c r="A15">
        <v>3000</v>
      </c>
      <c r="B15">
        <v>2</v>
      </c>
      <c r="C15">
        <f t="shared" si="0"/>
        <v>70400000000</v>
      </c>
      <c r="D15">
        <v>36381</v>
      </c>
      <c r="E15" s="1">
        <v>494764000</v>
      </c>
      <c r="F15">
        <f t="shared" si="1"/>
        <v>0.70278977272727272</v>
      </c>
      <c r="G15" s="1">
        <v>2.6061299999999999E-12</v>
      </c>
      <c r="H15">
        <v>21792</v>
      </c>
      <c r="I15" s="1">
        <v>825991000</v>
      </c>
      <c r="J15">
        <f t="shared" si="2"/>
        <v>1.1732826704545456</v>
      </c>
      <c r="K15" s="1">
        <v>2.6061299999999999E-12</v>
      </c>
      <c r="L15">
        <v>1193</v>
      </c>
      <c r="M15" s="1">
        <v>15088000000</v>
      </c>
      <c r="N15">
        <f t="shared" si="3"/>
        <v>754400000000</v>
      </c>
    </row>
    <row r="16" spans="1:14" x14ac:dyDescent="0.3">
      <c r="A16">
        <v>3500</v>
      </c>
      <c r="B16">
        <v>2</v>
      </c>
      <c r="C16">
        <f t="shared" si="0"/>
        <v>70400000000</v>
      </c>
      <c r="D16">
        <v>49940</v>
      </c>
      <c r="E16" s="1">
        <v>490589000</v>
      </c>
      <c r="F16">
        <f t="shared" si="1"/>
        <v>0.69685937499999995</v>
      </c>
      <c r="G16" s="1">
        <v>2.9908499999999999E-12</v>
      </c>
      <c r="H16">
        <v>24685</v>
      </c>
      <c r="I16" s="1">
        <v>992506000</v>
      </c>
      <c r="J16">
        <f t="shared" si="2"/>
        <v>1.4098096590909093</v>
      </c>
      <c r="K16" s="1">
        <v>2.9908499999999999E-12</v>
      </c>
      <c r="L16">
        <v>1711</v>
      </c>
      <c r="M16" s="1">
        <v>14319100000</v>
      </c>
      <c r="N16">
        <f t="shared" si="3"/>
        <v>715955000000</v>
      </c>
    </row>
    <row r="17" spans="1:14" x14ac:dyDescent="0.3">
      <c r="A17">
        <v>4000</v>
      </c>
      <c r="B17">
        <v>2</v>
      </c>
      <c r="C17">
        <f t="shared" si="0"/>
        <v>70400000000</v>
      </c>
      <c r="D17">
        <v>64118</v>
      </c>
      <c r="E17" s="1">
        <v>499080000</v>
      </c>
      <c r="F17">
        <f t="shared" si="1"/>
        <v>0.70892045454545449</v>
      </c>
      <c r="G17" s="1">
        <v>3.4749899999999999E-12</v>
      </c>
      <c r="H17">
        <v>27992</v>
      </c>
      <c r="I17" s="1">
        <v>1143180000</v>
      </c>
      <c r="J17">
        <f t="shared" si="2"/>
        <v>1.6238352272727272</v>
      </c>
      <c r="K17" s="1">
        <v>3.4749899999999999E-12</v>
      </c>
      <c r="L17">
        <v>1970</v>
      </c>
      <c r="M17" s="1">
        <v>16243700000</v>
      </c>
      <c r="N17">
        <f t="shared" si="3"/>
        <v>812185000000</v>
      </c>
    </row>
    <row r="18" spans="1:14" x14ac:dyDescent="0.3">
      <c r="A18">
        <v>4500</v>
      </c>
      <c r="B18">
        <v>2</v>
      </c>
      <c r="C18">
        <f t="shared" si="0"/>
        <v>70400000000</v>
      </c>
      <c r="D18">
        <v>81111</v>
      </c>
      <c r="E18" s="1">
        <v>499316000</v>
      </c>
      <c r="F18">
        <f t="shared" si="1"/>
        <v>0.70925568181818177</v>
      </c>
      <c r="G18" s="1">
        <v>4.1006599999999996E-12</v>
      </c>
      <c r="H18">
        <v>34316</v>
      </c>
      <c r="I18" s="1">
        <v>1180210000</v>
      </c>
      <c r="J18">
        <f t="shared" si="2"/>
        <v>1.6764346590909092</v>
      </c>
      <c r="K18" s="1">
        <v>4.1006599999999996E-12</v>
      </c>
      <c r="L18">
        <v>2523</v>
      </c>
      <c r="M18" s="1">
        <v>16052300000</v>
      </c>
      <c r="N18">
        <f t="shared" si="3"/>
        <v>802615000000</v>
      </c>
    </row>
    <row r="19" spans="1:14" x14ac:dyDescent="0.3">
      <c r="A19">
        <v>5000</v>
      </c>
      <c r="B19">
        <v>2</v>
      </c>
      <c r="C19">
        <f t="shared" si="0"/>
        <v>70400000000</v>
      </c>
      <c r="D19">
        <v>100006</v>
      </c>
      <c r="E19" s="1">
        <v>499970000</v>
      </c>
      <c r="F19">
        <f t="shared" si="1"/>
        <v>0.71018465909090911</v>
      </c>
      <c r="G19" s="1">
        <v>4.34338E-12</v>
      </c>
      <c r="H19">
        <v>37147</v>
      </c>
      <c r="I19" s="1">
        <v>1346000000</v>
      </c>
      <c r="J19">
        <f t="shared" si="2"/>
        <v>1.9119318181818181</v>
      </c>
      <c r="K19" s="1">
        <v>4.34338E-12</v>
      </c>
      <c r="L19">
        <v>3077</v>
      </c>
      <c r="M19" s="1">
        <v>16249600000</v>
      </c>
      <c r="N19">
        <f t="shared" si="3"/>
        <v>812480000000</v>
      </c>
    </row>
    <row r="20" spans="1:14" x14ac:dyDescent="0.3">
      <c r="A20">
        <v>5500</v>
      </c>
      <c r="B20">
        <v>2</v>
      </c>
      <c r="C20">
        <f t="shared" si="0"/>
        <v>70400000000</v>
      </c>
      <c r="D20">
        <v>123930</v>
      </c>
      <c r="E20" s="1">
        <v>488179000</v>
      </c>
      <c r="F20">
        <f t="shared" si="1"/>
        <v>0.69343607954545461</v>
      </c>
      <c r="G20" s="1">
        <v>4.7156300000000002E-12</v>
      </c>
      <c r="H20">
        <v>40406</v>
      </c>
      <c r="I20" s="1">
        <v>1497300000</v>
      </c>
      <c r="J20">
        <f t="shared" si="2"/>
        <v>2.126846590909091</v>
      </c>
      <c r="K20" s="1">
        <v>4.7156300000000002E-12</v>
      </c>
      <c r="L20">
        <v>3551</v>
      </c>
      <c r="M20" s="1">
        <v>17037500000</v>
      </c>
      <c r="N20">
        <f t="shared" si="3"/>
        <v>851875000000</v>
      </c>
    </row>
    <row r="21" spans="1:14" x14ac:dyDescent="0.3">
      <c r="A21">
        <v>6000</v>
      </c>
      <c r="B21">
        <v>2</v>
      </c>
      <c r="C21">
        <f t="shared" si="0"/>
        <v>70400000000</v>
      </c>
      <c r="D21">
        <v>143611</v>
      </c>
      <c r="E21" s="1">
        <v>501354000</v>
      </c>
      <c r="F21">
        <f t="shared" si="1"/>
        <v>0.71215056818181821</v>
      </c>
      <c r="G21" s="1">
        <v>5.2724E-12</v>
      </c>
      <c r="H21">
        <v>45326</v>
      </c>
      <c r="I21" s="1">
        <v>1588490000</v>
      </c>
      <c r="J21">
        <f t="shared" si="2"/>
        <v>2.2563778409090909</v>
      </c>
      <c r="K21" s="1">
        <v>5.2724E-12</v>
      </c>
      <c r="L21">
        <v>4423</v>
      </c>
      <c r="M21" s="1">
        <v>16278500000</v>
      </c>
      <c r="N21">
        <f t="shared" si="3"/>
        <v>813925000000</v>
      </c>
    </row>
    <row r="22" spans="1:14" x14ac:dyDescent="0.3">
      <c r="A22">
        <v>6500</v>
      </c>
      <c r="B22">
        <v>2</v>
      </c>
      <c r="C22">
        <f t="shared" si="0"/>
        <v>70400000000</v>
      </c>
      <c r="D22">
        <v>169926</v>
      </c>
      <c r="E22" s="1">
        <v>497275000</v>
      </c>
      <c r="F22">
        <f t="shared" si="1"/>
        <v>0.70635653409090904</v>
      </c>
      <c r="G22" s="1">
        <v>5.66611E-12</v>
      </c>
      <c r="H22">
        <v>49281</v>
      </c>
      <c r="I22" s="1">
        <v>1714660000</v>
      </c>
      <c r="J22">
        <f t="shared" si="2"/>
        <v>2.4355965909090909</v>
      </c>
      <c r="K22" s="1">
        <v>5.66611E-12</v>
      </c>
      <c r="L22">
        <v>5049</v>
      </c>
      <c r="M22" s="1">
        <v>16736000000</v>
      </c>
      <c r="N22">
        <f t="shared" si="3"/>
        <v>836800000000</v>
      </c>
    </row>
    <row r="23" spans="1:14" x14ac:dyDescent="0.3">
      <c r="A23">
        <v>7000</v>
      </c>
      <c r="B23">
        <v>2</v>
      </c>
      <c r="C23">
        <f t="shared" si="0"/>
        <v>70400000000</v>
      </c>
      <c r="D23">
        <v>198695</v>
      </c>
      <c r="E23" s="1">
        <v>493218000</v>
      </c>
      <c r="F23">
        <f t="shared" si="1"/>
        <v>0.70059375000000002</v>
      </c>
      <c r="G23" s="1">
        <v>6.24232E-12</v>
      </c>
      <c r="H23">
        <v>53559</v>
      </c>
      <c r="I23" s="1">
        <v>1829760000</v>
      </c>
      <c r="J23">
        <f t="shared" si="2"/>
        <v>2.5990909090909091</v>
      </c>
      <c r="K23" s="1">
        <v>6.24232E-12</v>
      </c>
      <c r="L23">
        <v>5808</v>
      </c>
      <c r="M23" s="1">
        <v>16873300000</v>
      </c>
      <c r="N23">
        <f t="shared" si="3"/>
        <v>843665000000</v>
      </c>
    </row>
    <row r="24" spans="1:14" x14ac:dyDescent="0.3">
      <c r="A24">
        <v>7500</v>
      </c>
      <c r="B24">
        <v>2</v>
      </c>
      <c r="C24">
        <f t="shared" si="0"/>
        <v>70400000000</v>
      </c>
      <c r="D24">
        <v>228314</v>
      </c>
      <c r="E24" s="1">
        <v>492742000</v>
      </c>
      <c r="F24">
        <f t="shared" si="1"/>
        <v>0.69991761363636362</v>
      </c>
      <c r="G24" s="1">
        <v>6.6243600000000003E-12</v>
      </c>
      <c r="H24">
        <v>59241</v>
      </c>
      <c r="I24" s="1">
        <v>1899020000</v>
      </c>
      <c r="J24">
        <f t="shared" si="2"/>
        <v>2.6974715909090912</v>
      </c>
      <c r="K24" s="1">
        <v>6.6243600000000003E-12</v>
      </c>
      <c r="L24">
        <v>7500</v>
      </c>
      <c r="M24" s="1">
        <v>15000000000</v>
      </c>
      <c r="N24">
        <f t="shared" si="3"/>
        <v>750000000000</v>
      </c>
    </row>
    <row r="25" spans="1:14" x14ac:dyDescent="0.3">
      <c r="A25">
        <v>8000</v>
      </c>
      <c r="B25">
        <v>2</v>
      </c>
      <c r="C25">
        <f t="shared" si="0"/>
        <v>70400000000</v>
      </c>
      <c r="D25">
        <v>256615</v>
      </c>
      <c r="E25" s="1">
        <v>498802000</v>
      </c>
      <c r="F25">
        <f t="shared" si="1"/>
        <v>0.70852556818181822</v>
      </c>
      <c r="G25" s="1">
        <v>7.1208200000000003E-12</v>
      </c>
      <c r="H25">
        <v>60794</v>
      </c>
      <c r="I25" s="1">
        <v>2105470000</v>
      </c>
      <c r="J25">
        <f t="shared" si="2"/>
        <v>2.9907244318181818</v>
      </c>
      <c r="K25" s="1">
        <v>7.1208200000000003E-12</v>
      </c>
      <c r="L25">
        <v>7728</v>
      </c>
      <c r="M25" s="1">
        <v>16563100000</v>
      </c>
      <c r="N25">
        <f t="shared" si="3"/>
        <v>828155000000</v>
      </c>
    </row>
    <row r="26" spans="1:14" x14ac:dyDescent="0.3">
      <c r="A26">
        <v>8500</v>
      </c>
      <c r="B26">
        <v>2</v>
      </c>
      <c r="C26">
        <f t="shared" si="0"/>
        <v>70400000000</v>
      </c>
      <c r="D26">
        <v>289949</v>
      </c>
      <c r="E26" s="1">
        <v>498364000</v>
      </c>
      <c r="F26">
        <f t="shared" si="1"/>
        <v>0.7079034090909091</v>
      </c>
      <c r="G26" s="1">
        <v>7.5915400000000002E-12</v>
      </c>
      <c r="H26">
        <v>67724</v>
      </c>
      <c r="I26" s="1">
        <v>2133660000</v>
      </c>
      <c r="J26">
        <f t="shared" si="2"/>
        <v>3.0307670454545454</v>
      </c>
      <c r="K26" s="1">
        <v>7.5915400000000002E-12</v>
      </c>
      <c r="L26">
        <v>8519</v>
      </c>
      <c r="M26" s="1">
        <v>16962100000</v>
      </c>
      <c r="N26">
        <f t="shared" si="3"/>
        <v>848105000000</v>
      </c>
    </row>
    <row r="27" spans="1:14" x14ac:dyDescent="0.3">
      <c r="A27">
        <v>9000</v>
      </c>
      <c r="B27">
        <v>2</v>
      </c>
      <c r="C27">
        <f t="shared" si="0"/>
        <v>70400000000</v>
      </c>
      <c r="D27">
        <v>324096</v>
      </c>
      <c r="E27" s="1">
        <v>499852000</v>
      </c>
      <c r="F27">
        <f t="shared" si="1"/>
        <v>0.71001704545454547</v>
      </c>
      <c r="G27" s="1">
        <v>7.9592199999999997E-12</v>
      </c>
      <c r="H27">
        <v>75507</v>
      </c>
      <c r="I27" s="1">
        <v>2145500000</v>
      </c>
      <c r="J27">
        <f t="shared" si="2"/>
        <v>3.0475852272727271</v>
      </c>
      <c r="K27" s="1">
        <v>7.9592199999999997E-12</v>
      </c>
      <c r="L27">
        <v>9659</v>
      </c>
      <c r="M27" s="1">
        <v>16771900000</v>
      </c>
      <c r="N27">
        <f t="shared" si="3"/>
        <v>838595000000</v>
      </c>
    </row>
    <row r="28" spans="1:14" x14ac:dyDescent="0.3">
      <c r="A28">
        <v>9500</v>
      </c>
      <c r="B28">
        <v>2</v>
      </c>
      <c r="C28">
        <f t="shared" si="0"/>
        <v>70400000000</v>
      </c>
      <c r="D28">
        <v>361444</v>
      </c>
      <c r="E28" s="1">
        <v>499386000</v>
      </c>
      <c r="F28">
        <f t="shared" si="1"/>
        <v>0.70935511363636361</v>
      </c>
      <c r="G28" s="1">
        <v>8.3171100000000007E-12</v>
      </c>
      <c r="H28">
        <v>78319</v>
      </c>
      <c r="I28" s="1">
        <v>2304680000</v>
      </c>
      <c r="J28">
        <f t="shared" si="2"/>
        <v>3.2736931818181816</v>
      </c>
      <c r="K28" s="1">
        <v>8.3171100000000007E-12</v>
      </c>
      <c r="L28">
        <v>10537</v>
      </c>
      <c r="M28" s="1">
        <v>17130100000</v>
      </c>
      <c r="N28">
        <f t="shared" si="3"/>
        <v>856505000000</v>
      </c>
    </row>
    <row r="29" spans="1:14" x14ac:dyDescent="0.3">
      <c r="A29">
        <v>10000</v>
      </c>
      <c r="B29">
        <v>2</v>
      </c>
      <c r="C29">
        <f t="shared" si="0"/>
        <v>70400000000</v>
      </c>
      <c r="D29">
        <v>402310</v>
      </c>
      <c r="E29" s="1">
        <v>497129000</v>
      </c>
      <c r="F29">
        <f t="shared" si="1"/>
        <v>0.70614914772727266</v>
      </c>
      <c r="G29" s="1">
        <v>8.8501600000000007E-12</v>
      </c>
      <c r="H29">
        <v>84581</v>
      </c>
      <c r="I29" s="1">
        <v>2364600000</v>
      </c>
      <c r="J29">
        <f t="shared" si="2"/>
        <v>3.3588068181818183</v>
      </c>
      <c r="K29" s="1">
        <v>8.8501600000000007E-12</v>
      </c>
      <c r="L29">
        <v>11031</v>
      </c>
      <c r="M29" s="1">
        <v>18130700000</v>
      </c>
      <c r="N29">
        <f t="shared" si="3"/>
        <v>906535000000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DF7F-BB22-4881-B3ED-A9CEE8A873E5}">
  <dimension ref="A1:G7"/>
  <sheetViews>
    <sheetView workbookViewId="0">
      <selection activeCell="P5" sqref="P5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17.6640625" bestFit="1" customWidth="1"/>
    <col min="4" max="4" width="15.21875" bestFit="1" customWidth="1"/>
    <col min="5" max="5" width="15.44140625" bestFit="1" customWidth="1"/>
    <col min="6" max="6" width="12.77734375" bestFit="1" customWidth="1"/>
    <col min="7" max="7" width="10.44140625" bestFit="1" customWidth="1"/>
  </cols>
  <sheetData>
    <row r="1" spans="1:7" ht="15.6" x14ac:dyDescent="0.3">
      <c r="A1" s="2" t="s">
        <v>15</v>
      </c>
      <c r="B1" s="3" t="s">
        <v>16</v>
      </c>
      <c r="C1" s="3" t="s">
        <v>17</v>
      </c>
      <c r="D1" s="4" t="s">
        <v>18</v>
      </c>
      <c r="E1" s="12" t="s">
        <v>19</v>
      </c>
      <c r="F1" s="12" t="s">
        <v>20</v>
      </c>
      <c r="G1" s="12" t="s">
        <v>21</v>
      </c>
    </row>
    <row r="2" spans="1:7" ht="15.6" x14ac:dyDescent="0.3">
      <c r="A2" s="5">
        <v>100</v>
      </c>
      <c r="B2" s="8">
        <v>484000000</v>
      </c>
      <c r="C2" s="8">
        <v>46800000</v>
      </c>
      <c r="D2" s="7">
        <v>322000000</v>
      </c>
      <c r="E2" s="1">
        <v>465116000</v>
      </c>
      <c r="F2" s="1">
        <v>21436200</v>
      </c>
      <c r="G2" s="1">
        <v>4000000000</v>
      </c>
    </row>
    <row r="3" spans="1:7" ht="15.6" x14ac:dyDescent="0.3">
      <c r="A3" s="5">
        <v>1000</v>
      </c>
      <c r="B3" s="6">
        <v>479000000</v>
      </c>
      <c r="C3" s="6">
        <v>2730000000</v>
      </c>
      <c r="D3" s="7">
        <v>1020000000</v>
      </c>
      <c r="E3" s="1">
        <v>489836000</v>
      </c>
      <c r="F3" s="1">
        <v>262295000</v>
      </c>
      <c r="G3" s="1">
        <v>4329000000</v>
      </c>
    </row>
    <row r="4" spans="1:7" ht="15.6" x14ac:dyDescent="0.3">
      <c r="A4" s="5">
        <v>2000</v>
      </c>
      <c r="B4" s="6">
        <v>1250000000</v>
      </c>
      <c r="C4" s="6">
        <v>6080000000</v>
      </c>
      <c r="D4" s="7">
        <v>2460000000</v>
      </c>
      <c r="E4" s="1">
        <v>500375000</v>
      </c>
      <c r="F4" s="1">
        <v>564374000</v>
      </c>
      <c r="G4" s="1">
        <v>11887100000</v>
      </c>
    </row>
    <row r="5" spans="1:7" ht="15.6" x14ac:dyDescent="0.3">
      <c r="A5" s="5">
        <v>4000</v>
      </c>
      <c r="B5" s="8">
        <v>1120000000</v>
      </c>
      <c r="C5" s="6">
        <v>6700000000</v>
      </c>
      <c r="D5" s="7">
        <v>13500000000</v>
      </c>
      <c r="E5" s="1">
        <v>499080000</v>
      </c>
      <c r="F5" s="1">
        <v>1143180000</v>
      </c>
      <c r="G5" s="1">
        <v>16243700000</v>
      </c>
    </row>
    <row r="6" spans="1:7" ht="15.6" x14ac:dyDescent="0.3">
      <c r="A6" s="5">
        <v>8000</v>
      </c>
      <c r="B6" s="6">
        <v>929000000</v>
      </c>
      <c r="C6" s="6">
        <v>6990000000</v>
      </c>
      <c r="D6" s="7">
        <v>13400000000</v>
      </c>
      <c r="E6" s="1">
        <v>498802000</v>
      </c>
      <c r="F6" s="1">
        <v>2105470000</v>
      </c>
      <c r="G6" s="1">
        <v>16563100000</v>
      </c>
    </row>
    <row r="7" spans="1:7" ht="15.6" x14ac:dyDescent="0.3">
      <c r="A7" s="9">
        <v>10000</v>
      </c>
      <c r="B7" s="10">
        <v>929000000</v>
      </c>
      <c r="C7" s="10">
        <v>6760000000</v>
      </c>
      <c r="D7" s="11">
        <v>14000000000</v>
      </c>
      <c r="E7" s="1">
        <v>497129000</v>
      </c>
      <c r="F7" s="1">
        <v>2364600000</v>
      </c>
      <c r="G7" s="1">
        <v>18130700000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2D87-1ADC-4DE4-B199-F6C0B8BA1898}">
  <dimension ref="A1:G28"/>
  <sheetViews>
    <sheetView tabSelected="1" topLeftCell="G1" workbookViewId="0">
      <selection activeCell="X19" sqref="X19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20.6640625" bestFit="1" customWidth="1"/>
    <col min="4" max="4" width="18.6640625" bestFit="1" customWidth="1"/>
    <col min="5" max="5" width="18.77734375" bestFit="1" customWidth="1"/>
    <col min="6" max="6" width="16.33203125" bestFit="1" customWidth="1"/>
    <col min="7" max="7" width="14.33203125" bestFit="1" customWidth="1"/>
  </cols>
  <sheetData>
    <row r="1" spans="1:7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3">
      <c r="A2">
        <v>50</v>
      </c>
      <c r="B2" s="1">
        <v>247500000</v>
      </c>
      <c r="C2" s="1">
        <v>5118920</v>
      </c>
      <c r="D2" s="1">
        <v>4950000000</v>
      </c>
      <c r="E2" s="1">
        <v>454545000</v>
      </c>
      <c r="F2" s="1">
        <v>9980040</v>
      </c>
      <c r="G2" s="1">
        <v>1250000000</v>
      </c>
    </row>
    <row r="3" spans="1:7" x14ac:dyDescent="0.3">
      <c r="A3">
        <v>100</v>
      </c>
      <c r="B3" s="1">
        <v>231395000</v>
      </c>
      <c r="C3" s="1">
        <v>9900500</v>
      </c>
      <c r="D3" s="1">
        <v>3980000000</v>
      </c>
      <c r="E3" s="1">
        <v>465116000</v>
      </c>
      <c r="F3" s="1">
        <v>21436200</v>
      </c>
      <c r="G3" s="1">
        <v>4000000000</v>
      </c>
    </row>
    <row r="4" spans="1:7" x14ac:dyDescent="0.3">
      <c r="A4">
        <v>200</v>
      </c>
      <c r="B4" s="1">
        <v>271429000</v>
      </c>
      <c r="C4" s="1">
        <v>25925900</v>
      </c>
      <c r="D4" s="1">
        <v>3800000000</v>
      </c>
      <c r="E4" s="1">
        <v>454545000</v>
      </c>
      <c r="F4" s="1">
        <v>39564800</v>
      </c>
      <c r="G4" s="1">
        <v>10891800</v>
      </c>
    </row>
    <row r="5" spans="1:7" x14ac:dyDescent="0.3">
      <c r="A5">
        <v>300</v>
      </c>
      <c r="B5" s="1">
        <v>315817000</v>
      </c>
      <c r="C5" s="1">
        <v>36193400</v>
      </c>
      <c r="D5" s="1">
        <v>5285290000</v>
      </c>
      <c r="E5" s="1">
        <v>466321000</v>
      </c>
      <c r="F5" s="1">
        <v>70395000</v>
      </c>
      <c r="G5" s="1">
        <v>569620000</v>
      </c>
    </row>
    <row r="6" spans="1:7" x14ac:dyDescent="0.3">
      <c r="A6">
        <v>400</v>
      </c>
      <c r="B6" s="1">
        <v>397512000</v>
      </c>
      <c r="C6" s="1">
        <v>58014200</v>
      </c>
      <c r="D6" s="1">
        <v>6800000000</v>
      </c>
      <c r="E6" s="1">
        <v>508744000</v>
      </c>
      <c r="F6" s="1">
        <v>91664300</v>
      </c>
      <c r="G6" s="1">
        <v>871935000</v>
      </c>
    </row>
    <row r="7" spans="1:7" x14ac:dyDescent="0.3">
      <c r="A7">
        <v>500</v>
      </c>
      <c r="B7" s="1">
        <v>473011000</v>
      </c>
      <c r="C7" s="1">
        <v>86195000</v>
      </c>
      <c r="D7" s="1">
        <v>9605770000</v>
      </c>
      <c r="E7" s="1">
        <v>467727000</v>
      </c>
      <c r="F7" s="1">
        <v>129702000</v>
      </c>
      <c r="G7" s="1">
        <v>1587300000</v>
      </c>
    </row>
    <row r="8" spans="1:7" x14ac:dyDescent="0.3">
      <c r="A8">
        <v>600</v>
      </c>
      <c r="B8" s="1">
        <v>559409000</v>
      </c>
      <c r="C8" s="1">
        <v>119126000</v>
      </c>
      <c r="D8" s="1">
        <v>8992500000</v>
      </c>
      <c r="E8" s="1">
        <v>509194000</v>
      </c>
      <c r="F8" s="1">
        <v>180270000</v>
      </c>
      <c r="G8" s="1">
        <v>2686570000</v>
      </c>
    </row>
    <row r="9" spans="1:7" x14ac:dyDescent="0.3">
      <c r="A9">
        <v>800</v>
      </c>
      <c r="B9" s="1">
        <v>500861000</v>
      </c>
      <c r="C9" s="1">
        <v>167830000</v>
      </c>
      <c r="D9" s="1">
        <v>2464740000</v>
      </c>
      <c r="E9" s="1">
        <v>500195000</v>
      </c>
      <c r="F9" s="1">
        <v>219253000</v>
      </c>
      <c r="G9" s="1">
        <v>3657140000</v>
      </c>
    </row>
    <row r="10" spans="1:7" x14ac:dyDescent="0.3">
      <c r="A10">
        <v>1000</v>
      </c>
      <c r="B10" s="1">
        <v>583139000</v>
      </c>
      <c r="C10" s="1">
        <v>206615000</v>
      </c>
      <c r="D10" s="1">
        <v>13151300000</v>
      </c>
      <c r="E10" s="1">
        <v>489836000</v>
      </c>
      <c r="F10" s="1">
        <v>262295000</v>
      </c>
      <c r="G10" s="1">
        <v>4329000000</v>
      </c>
    </row>
    <row r="11" spans="1:7" x14ac:dyDescent="0.3">
      <c r="A11">
        <v>1500</v>
      </c>
      <c r="B11" s="1">
        <v>546001000</v>
      </c>
      <c r="C11" s="1">
        <v>309069000</v>
      </c>
      <c r="D11" s="1">
        <v>11534600000</v>
      </c>
      <c r="E11" s="1">
        <v>480051000</v>
      </c>
      <c r="F11" s="1">
        <v>422654000</v>
      </c>
      <c r="G11" s="1">
        <v>11194000000</v>
      </c>
    </row>
    <row r="12" spans="1:7" x14ac:dyDescent="0.3">
      <c r="A12">
        <v>2000</v>
      </c>
      <c r="B12" s="1">
        <v>580280000</v>
      </c>
      <c r="C12" s="1">
        <v>395510000</v>
      </c>
      <c r="D12" s="1">
        <v>13718700000</v>
      </c>
      <c r="E12" s="1">
        <v>500375000</v>
      </c>
      <c r="F12" s="1">
        <v>564374000</v>
      </c>
      <c r="G12" s="1">
        <v>11887100000</v>
      </c>
    </row>
    <row r="13" spans="1:7" x14ac:dyDescent="0.3">
      <c r="A13">
        <v>2500</v>
      </c>
      <c r="B13" s="1">
        <v>577545000</v>
      </c>
      <c r="C13" s="1">
        <v>480101000</v>
      </c>
      <c r="D13" s="1">
        <v>13540100000</v>
      </c>
      <c r="E13" s="1">
        <v>499321000</v>
      </c>
      <c r="F13" s="1">
        <v>726829000</v>
      </c>
      <c r="G13" s="1">
        <v>12437800000</v>
      </c>
    </row>
    <row r="14" spans="1:7" x14ac:dyDescent="0.3">
      <c r="A14">
        <v>3000</v>
      </c>
      <c r="B14" s="1">
        <v>579240000</v>
      </c>
      <c r="C14" s="1">
        <v>600080000</v>
      </c>
      <c r="D14" s="1">
        <v>13552000000</v>
      </c>
      <c r="E14" s="1">
        <v>494764000</v>
      </c>
      <c r="F14" s="1">
        <v>825991000</v>
      </c>
      <c r="G14" s="1">
        <v>15088000000</v>
      </c>
    </row>
    <row r="15" spans="1:7" x14ac:dyDescent="0.3">
      <c r="A15">
        <v>3500</v>
      </c>
      <c r="B15" s="1">
        <v>577298000</v>
      </c>
      <c r="C15" s="1">
        <v>715310000</v>
      </c>
      <c r="D15" s="1">
        <v>13926400000</v>
      </c>
      <c r="E15" s="1">
        <v>490589000</v>
      </c>
      <c r="F15" s="1">
        <v>992506000</v>
      </c>
      <c r="G15" s="1">
        <v>14319100000</v>
      </c>
    </row>
    <row r="16" spans="1:7" x14ac:dyDescent="0.3">
      <c r="A16">
        <v>4000</v>
      </c>
      <c r="B16" s="1">
        <v>481476000</v>
      </c>
      <c r="C16" s="1">
        <v>826108000</v>
      </c>
      <c r="D16" s="1">
        <v>13911300000</v>
      </c>
      <c r="E16" s="1">
        <v>499080000</v>
      </c>
      <c r="F16" s="1">
        <v>1143180000</v>
      </c>
      <c r="G16" s="1">
        <v>16243700000</v>
      </c>
    </row>
    <row r="17" spans="1:7" x14ac:dyDescent="0.3">
      <c r="A17">
        <v>4500</v>
      </c>
      <c r="B17" s="1">
        <v>562398000</v>
      </c>
      <c r="C17" s="1">
        <v>902346000</v>
      </c>
      <c r="D17" s="1">
        <v>11700500000</v>
      </c>
      <c r="E17" s="1">
        <v>499316000</v>
      </c>
      <c r="F17" s="1">
        <v>1180210000</v>
      </c>
      <c r="G17" s="1">
        <v>16052300000</v>
      </c>
    </row>
    <row r="18" spans="1:7" x14ac:dyDescent="0.3">
      <c r="A18">
        <v>5000</v>
      </c>
      <c r="B18" s="1">
        <v>527251000</v>
      </c>
      <c r="C18" s="1">
        <v>1043540000</v>
      </c>
      <c r="D18" s="1">
        <v>13541400000</v>
      </c>
      <c r="E18" s="1">
        <v>499970000</v>
      </c>
      <c r="F18" s="1">
        <v>1346000000</v>
      </c>
      <c r="G18" s="1">
        <v>16249600000</v>
      </c>
    </row>
    <row r="19" spans="1:7" x14ac:dyDescent="0.3">
      <c r="A19">
        <v>5500</v>
      </c>
      <c r="B19" s="1">
        <v>578618000</v>
      </c>
      <c r="C19" s="1">
        <v>1100340000</v>
      </c>
      <c r="D19" s="1">
        <v>13316000000</v>
      </c>
      <c r="E19" s="1">
        <v>488179000</v>
      </c>
      <c r="F19" s="1">
        <v>1497300000</v>
      </c>
      <c r="G19" s="1">
        <v>17037500000</v>
      </c>
    </row>
    <row r="20" spans="1:7" x14ac:dyDescent="0.3">
      <c r="A20">
        <v>6000</v>
      </c>
      <c r="B20" s="1">
        <v>425024000</v>
      </c>
      <c r="C20" s="1">
        <v>1128200000</v>
      </c>
      <c r="D20" s="1">
        <v>13456800000</v>
      </c>
      <c r="E20" s="1">
        <v>501354000</v>
      </c>
      <c r="F20" s="1">
        <v>1588490000</v>
      </c>
      <c r="G20" s="1">
        <v>16278500000</v>
      </c>
    </row>
    <row r="21" spans="1:7" x14ac:dyDescent="0.3">
      <c r="A21">
        <v>6500</v>
      </c>
      <c r="B21" s="1">
        <v>567348000</v>
      </c>
      <c r="C21" s="1">
        <v>1256670000</v>
      </c>
      <c r="D21" s="1">
        <v>11794200000</v>
      </c>
      <c r="E21" s="1">
        <v>497275000</v>
      </c>
      <c r="F21" s="1">
        <v>1714660000</v>
      </c>
      <c r="G21" s="1">
        <v>16736000000</v>
      </c>
    </row>
    <row r="22" spans="1:7" x14ac:dyDescent="0.3">
      <c r="A22">
        <v>7000</v>
      </c>
      <c r="B22" s="1">
        <v>552291000</v>
      </c>
      <c r="C22" s="1">
        <v>1367870000</v>
      </c>
      <c r="D22" s="1">
        <v>13941200000</v>
      </c>
      <c r="E22" s="1">
        <v>493218000</v>
      </c>
      <c r="F22" s="1">
        <v>1829760000</v>
      </c>
      <c r="G22" s="1">
        <v>16873300000</v>
      </c>
    </row>
    <row r="23" spans="1:7" x14ac:dyDescent="0.3">
      <c r="A23">
        <v>7500</v>
      </c>
      <c r="B23" s="1">
        <v>562964000</v>
      </c>
      <c r="C23" s="1">
        <v>1419950000</v>
      </c>
      <c r="D23" s="1">
        <v>14299300000</v>
      </c>
      <c r="E23" s="1">
        <v>492742000</v>
      </c>
      <c r="F23" s="1">
        <v>1899020000</v>
      </c>
      <c r="G23" s="1">
        <v>15000000000</v>
      </c>
    </row>
    <row r="24" spans="1:7" x14ac:dyDescent="0.3">
      <c r="A24">
        <v>8000</v>
      </c>
      <c r="B24" s="1">
        <v>547566000</v>
      </c>
      <c r="C24" s="1">
        <v>1428160000</v>
      </c>
      <c r="D24" s="1">
        <v>12322300000</v>
      </c>
      <c r="E24" s="1">
        <v>498802000</v>
      </c>
      <c r="F24" s="1">
        <v>2105470000</v>
      </c>
      <c r="G24" s="1">
        <v>16563100000</v>
      </c>
    </row>
    <row r="25" spans="1:7" x14ac:dyDescent="0.3">
      <c r="A25">
        <v>8500</v>
      </c>
      <c r="B25" s="1">
        <v>515542000</v>
      </c>
      <c r="C25" s="1">
        <v>1485090000</v>
      </c>
      <c r="D25" s="1">
        <v>13019600000</v>
      </c>
      <c r="E25" s="1">
        <v>498364000</v>
      </c>
      <c r="F25" s="1">
        <v>2133660000</v>
      </c>
      <c r="G25" s="1">
        <v>16962100000</v>
      </c>
    </row>
    <row r="26" spans="1:7" x14ac:dyDescent="0.3">
      <c r="A26">
        <v>9000</v>
      </c>
      <c r="B26" s="1">
        <v>483575000</v>
      </c>
      <c r="C26" s="1">
        <v>1659640000</v>
      </c>
      <c r="D26" s="1">
        <v>14258500000</v>
      </c>
      <c r="E26" s="1">
        <v>499852000</v>
      </c>
      <c r="F26" s="1">
        <v>2145500000</v>
      </c>
      <c r="G26" s="1">
        <v>16771900000</v>
      </c>
    </row>
    <row r="27" spans="1:7" x14ac:dyDescent="0.3">
      <c r="A27">
        <v>9500</v>
      </c>
      <c r="B27" s="1">
        <v>474447000</v>
      </c>
      <c r="C27" s="1">
        <v>1630330000</v>
      </c>
      <c r="D27" s="1">
        <v>14325800000</v>
      </c>
      <c r="E27" s="1">
        <v>499386000</v>
      </c>
      <c r="F27" s="1">
        <v>2304680000</v>
      </c>
      <c r="G27" s="1">
        <v>17130100000</v>
      </c>
    </row>
    <row r="28" spans="1:7" x14ac:dyDescent="0.3">
      <c r="A28">
        <v>10000</v>
      </c>
      <c r="B28" s="1">
        <v>477387000</v>
      </c>
      <c r="C28" s="1">
        <v>1680630000</v>
      </c>
      <c r="D28" s="1">
        <v>13082400000</v>
      </c>
      <c r="E28" s="1">
        <v>497129000</v>
      </c>
      <c r="F28" s="1">
        <v>2364600000</v>
      </c>
      <c r="G28" s="1">
        <v>18130700000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Comparision with Machine1</vt:lpstr>
      <vt:lpstr>Comparision with Machine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Shah</dc:creator>
  <cp:lastModifiedBy>Meenal Shah</cp:lastModifiedBy>
  <dcterms:created xsi:type="dcterms:W3CDTF">2025-02-05T01:58:07Z</dcterms:created>
  <dcterms:modified xsi:type="dcterms:W3CDTF">2025-02-05T05:10:48Z</dcterms:modified>
</cp:coreProperties>
</file>